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1A382557-91B3-4AA5-9DFE-286150D0A706}" xr6:coauthVersionLast="47" xr6:coauthVersionMax="47"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3" i="7" l="1"/>
  <c r="F31" i="7"/>
  <c r="D31" i="7"/>
  <c r="T22" i="6"/>
  <c r="G21" i="5"/>
  <c r="G22" i="5" s="1"/>
  <c r="G16" i="5"/>
  <c r="B3" i="1"/>
  <c r="B2" i="1"/>
  <c r="D43" i="7"/>
  <c r="T21" i="6" l="1"/>
  <c r="T31" i="6" s="1"/>
  <c r="E5" i="5" l="1" a="1"/>
  <c r="E5" i="5" s="1"/>
  <c r="U8" i="6" a="1"/>
  <c r="U8" i="6" s="1"/>
  <c r="D5" i="7" a="1"/>
  <c r="D5" i="7" s="1"/>
  <c r="W14" i="7"/>
  <c r="W17" i="7" s="1"/>
  <c r="I37" i="7" s="1"/>
  <c r="D35" i="7" a="1"/>
  <c r="D35" i="7" s="1"/>
  <c r="H8" i="5"/>
  <c r="G9" i="5"/>
  <c r="G17" i="5"/>
  <c r="J10"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<sst xmlns="http://schemas.openxmlformats.org/spreadsheetml/2006/main" count="134" uniqueCount="113">
  <si>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</si>
  <si>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</si>
  <si>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</si>
  <si>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</si>
  <si>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</si>
  <si>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</si>
  <si>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</si>
  <si>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</si>
  <si>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</si>
  <si>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</si>
  <si>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</si>
  <si>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</si>
  <si>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</si>
  <si>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</si>
  <si>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</si>
  <si>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</si>
  <si>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</si>
  <si>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</si>
  <si>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</si>
  <si>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</si>
  <si>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</si>
  <si>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</si>
  <si>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</si>
  <si>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</si>
  <si>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</si>
  <si>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</si>
  <si>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</si>
  <si>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</si>
  <si>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</si>
  <si>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</si>
  <si>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</si>
  <si>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</si>
  <si>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</si>
  <si>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</si>
  <si>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</si>
  <si>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</si>
  <si>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</si>
  <si>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</si>
  <si>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</si>
  <si>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</si>
  <si>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</si>
  <si>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</si>
  <si>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</si>
  <si>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</si>
  <si>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</si>
  <si>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</si>
  <si>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</si>
  <si>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</si>
  <si>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</si>
  <si>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</si>
  <si>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</si>
  <si>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</si>
  <si>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</si>
  <si>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</si>
  <si>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</si>
  <si>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</si>
  <si>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</si>
  <si>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</si>
  <si>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</si>
  <si>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</si>
  <si>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</si>
  <si>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</si>
  <si>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</si>
  <si>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</si>
  <si>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</si>
  <si>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</si>
  <si>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</si>
  <si>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</si>
  <si>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</si>
  <si>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</si>
  <si>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</si>
  <si>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</si>
  <si>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</si>
  <si>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</si>
  <si>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</si>
  <si>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</si>
  <si>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</si>
  <si>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</si>
  <si>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</si>
  <si>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</si>
  <si>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</si>
  <si>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</si>
  <si>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</si>
  <si>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</si>
  <si>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</si>
  <si>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</si>
  <si>
    <t>交通費</t>
    <rPh sb="0" eb="3">
      <t>コウツウヒ</t>
    </rPh>
    <phoneticPr fontId="1"/>
  </si>
  <si>
    <t>総合計額</t>
    <rPh sb="0" eb="1">
      <t>ソウ</t>
    </rPh>
    <rPh sb="1" eb="3">
      <t>ゴウケイ</t>
    </rPh>
    <rPh sb="3" eb="4">
      <t>ガク</t>
    </rPh>
    <phoneticPr fontId="1"/>
  </si>
  <si>
    <t>小平謙二</t>
  </si>
  <si>
    <t>湊清次</t>
  </si>
  <si>
    <t>広田奈津美</t>
  </si>
  <si>
    <t>浅野沙希</t>
  </si>
  <si>
    <t>坂井章子</t>
  </si>
  <si>
    <t>白川心菜</t>
  </si>
  <si>
    <t>土肥政男</t>
  </si>
  <si>
    <t>川井佳那子</t>
  </si>
  <si>
    <t>本郷花凛</t>
  </si>
  <si>
    <t>甲斐直治</t>
  </si>
  <si>
    <t>大塚重光</t>
  </si>
  <si>
    <t>鳥居玲子</t>
  </si>
  <si>
    <t>高木凪紗</t>
  </si>
  <si>
    <t>矢口一三</t>
  </si>
  <si>
    <t>桜井春奈</t>
  </si>
  <si>
    <t>竹田芽生</t>
  </si>
  <si>
    <t>小寺恒男</t>
  </si>
  <si>
    <t>染谷光義</t>
  </si>
  <si>
    <t>深田涼音</t>
  </si>
  <si>
    <t>金子咲希</t>
  </si>
  <si>
    <t>島明里</t>
  </si>
  <si>
    <t>三沢美也子</t>
  </si>
  <si>
    <t>内海颯空</t>
  </si>
  <si>
    <t>佐藤雪海</t>
  </si>
  <si>
    <t>4月分</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</si>
</sst>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quot;¥ &quot;#,##0_);[Red]&quot;¥ -&quot;#,##0_)"/>
    <numFmt numFmtId="177" formatCode="__@__\)"/>
    <numFmt numFmtId="178" formatCode="#,##0_);[Red]\-#,##0_)"/>
    <numFmt numFmtId="179" formatCode="#,##0_)"/>
    <numFmt numFmtId="180" formatCode="\¥#,##0;&quot;¥-&quot;#,##0"/>
    <numFmt numFmtId="181" formatCode="[$-F800]dddd\,\ mmmm\ dd\,\ yyyy"/>
    <numFmt numFmtId="182" formatCode="[$]ggge&quot;年&quot;m&quot;月&quot;d&quot;日&quot;;@" x16r2:formatCode16="[$-ja-JP-x-gannen]ggge&quot;年&quot;m&quot;月&quot;d&quot;日&quot;;@"/>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1">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C0C0C0"/>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
      <left/>
      <right/>
      <top style="thin">
        <color auto="1"/>
      </top>
      <bottom style="double">
        <color auto="1"/>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218">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7"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1"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8" xfId="3" applyFont="1" applyBorder="1">
      <alignment vertical="center"/>
    </xf>
    <xf numFmtId="177" fontId="11" fillId="3" borderId="43" xfId="3" applyNumberFormat="1" applyFont="1" applyFill="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49" xfId="6" applyFont="1" applyBorder="1" applyAlignment="1">
      <alignment horizontal="center" vertical="center"/>
    </xf>
    <xf numFmtId="0" fontId="17" fillId="0" borderId="49" xfId="6" applyFont="1" applyBorder="1" applyAlignment="1">
      <alignment vertical="center"/>
    </xf>
    <xf numFmtId="0" fontId="20" fillId="0" borderId="49"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1"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xf numFmtId="0" fontId="0" fillId="0" borderId="53" xfId="0" applyBorder="1" applyAlignment="1">
      <alignment horizontal="center" wrapText="1"/>
    </xf>
    <xf numFmtId="0" fontId="0" fillId="0" borderId="53" xfId="0" applyBorder="1" applyAlignment="1">
      <alignment horizontal="center"/>
    </xf>
    <xf numFmtId="38" fontId="2" fillId="0" borderId="33" xfId="2" applyFont="1" applyBorder="1">
      <alignment vertical="center"/>
    </xf>
    <xf numFmtId="38" fontId="2" fillId="0" borderId="16" xfId="2" applyFont="1" applyBorder="1">
      <alignment vertical="center"/>
    </xf>
    <xf numFmtId="38" fontId="2" fillId="0" borderId="32" xfId="2" applyFont="1" applyBorder="1">
      <alignment vertical="center"/>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0" fontId="2" fillId="0" borderId="12" xfId="1" applyFont="1" applyBorder="1" applyAlignment="1" applyProtection="1">
      <alignment horizontal="center" vertical="center"/>
      <protection locked="0"/>
    </xf>
    <xf numFmtId="0" fontId="2" fillId="0" borderId="23" xfId="1" applyFont="1" applyBorder="1" applyAlignment="1">
      <alignment horizontal="center" vertical="center"/>
    </xf>
    <xf numFmtId="0" fontId="2" fillId="0" borderId="24" xfId="1" applyFont="1" applyBorder="1" applyAlignment="1">
      <alignment horizontal="center"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0" xfId="1" applyFont="1" applyAlignment="1">
      <alignment horizontal="center" vertical="center"/>
    </xf>
    <xf numFmtId="0" fontId="2" fillId="0" borderId="13" xfId="1" applyFont="1" applyBorder="1" applyAlignment="1" applyProtection="1">
      <alignment horizontal="center" vertical="center"/>
      <protection locked="0"/>
    </xf>
    <xf numFmtId="38" fontId="2" fillId="0" borderId="14" xfId="2" applyFont="1" applyBorder="1" applyAlignment="1" applyProtection="1">
      <alignment horizontal="right"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2"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5" xfId="1" applyFont="1" applyBorder="1" applyAlignment="1">
      <alignment horizontal="center" vertical="center" wrapText="1"/>
    </xf>
    <xf numFmtId="0" fontId="2" fillId="0" borderId="34" xfId="1" applyFont="1" applyBorder="1" applyAlignment="1">
      <alignment horizontal="center" vertical="center" wrapText="1"/>
    </xf>
    <xf numFmtId="0" fontId="2" fillId="0" borderId="36" xfId="1" applyFont="1" applyBorder="1" applyAlignment="1">
      <alignment horizontal="center" vertical="center"/>
    </xf>
    <xf numFmtId="0" fontId="2" fillId="0" borderId="3" xfId="1" applyFont="1" applyBorder="1" applyAlignment="1">
      <alignment horizontal="center" vertical="center"/>
    </xf>
    <xf numFmtId="38" fontId="8" fillId="0" borderId="36"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5" xfId="2" applyFont="1" applyBorder="1">
      <alignment vertical="center"/>
    </xf>
    <xf numFmtId="38" fontId="8" fillId="0" borderId="0" xfId="2" applyFont="1" applyBorder="1">
      <alignment vertical="center"/>
    </xf>
    <xf numFmtId="0" fontId="3"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4" xfId="1" applyFont="1" applyBorder="1" applyAlignment="1">
      <alignment horizontal="center" vertical="center"/>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19" fillId="0" borderId="0" xfId="3" applyFont="1" applyAlignment="1">
      <alignment horizontal="center" vertical="center"/>
    </xf>
    <xf numFmtId="49" fontId="0" fillId="0" borderId="47" xfId="5" applyNumberFormat="1" applyFont="1" applyBorder="1" applyAlignment="1">
      <alignment horizontal="center" vertical="center"/>
    </xf>
    <xf numFmtId="0" fontId="11" fillId="0" borderId="47" xfId="3" applyFont="1" applyBorder="1" applyAlignment="1">
      <alignment horizontal="center" vertical="center"/>
    </xf>
    <xf numFmtId="0" fontId="18" fillId="0" borderId="0" xfId="5" applyFont="1" applyAlignment="1" applyProtection="1">
      <alignment horizontal="center" vertical="center"/>
      <protection locked="0"/>
    </xf>
    <xf numFmtId="0" fontId="11" fillId="0" borderId="0" xfId="3" applyFont="1" applyAlignment="1">
      <alignment horizontal="center" vertical="center"/>
    </xf>
    <xf numFmtId="177" fontId="11" fillId="3" borderId="44" xfId="3" applyNumberFormat="1" applyFont="1" applyFill="1" applyBorder="1" applyAlignment="1" applyProtection="1">
      <alignment horizontal="center" vertical="center"/>
      <protection locked="0"/>
    </xf>
    <xf numFmtId="0" fontId="17" fillId="0" borderId="41" xfId="5" applyFont="1" applyBorder="1" applyAlignment="1" applyProtection="1">
      <alignment horizontal="center" vertical="center"/>
      <protection locked="0"/>
    </xf>
    <xf numFmtId="0" fontId="11" fillId="0" borderId="41" xfId="3" applyFont="1" applyBorder="1" applyAlignment="1">
      <alignment horizontal="center" vertical="center"/>
    </xf>
    <xf numFmtId="0" fontId="13" fillId="2" borderId="46" xfId="3" applyFont="1" applyFill="1" applyBorder="1" applyAlignment="1">
      <alignment horizontal="center" vertical="center"/>
    </xf>
    <xf numFmtId="178" fontId="11" fillId="6" borderId="41" xfId="4" applyNumberFormat="1" applyFont="1" applyFill="1" applyBorder="1" applyAlignment="1" applyProtection="1">
      <alignment horizontal="right" vertical="center"/>
      <protection locked="0"/>
    </xf>
    <xf numFmtId="179" fontId="11" fillId="0" borderId="41" xfId="3" applyNumberFormat="1" applyFont="1" applyBorder="1" applyAlignment="1">
      <alignment horizontal="right" vertical="center"/>
    </xf>
    <xf numFmtId="178" fontId="11" fillId="0" borderId="41" xfId="3" applyNumberFormat="1" applyFont="1" applyBorder="1" applyAlignment="1">
      <alignment horizontal="right"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3" xfId="3" applyFont="1" applyBorder="1" applyAlignment="1">
      <alignment horizontal="center" vertical="center"/>
    </xf>
    <xf numFmtId="179" fontId="11" fillId="0" borderId="41" xfId="3" applyNumberFormat="1" applyFont="1" applyBorder="1" applyAlignment="1" applyProtection="1">
      <alignment horizontal="right" vertical="center"/>
      <protection locked="0"/>
    </xf>
    <xf numFmtId="178" fontId="11" fillId="0" borderId="45" xfId="3" applyNumberFormat="1" applyFont="1" applyBorder="1" applyAlignment="1" applyProtection="1">
      <alignment horizontal="right" vertical="center"/>
      <protection locked="0"/>
    </xf>
    <xf numFmtId="178" fontId="11" fillId="0" borderId="44" xfId="3" applyNumberFormat="1" applyFont="1" applyBorder="1" applyAlignment="1" applyProtection="1">
      <alignment horizontal="right" vertical="center"/>
      <protection locked="0"/>
    </xf>
    <xf numFmtId="178" fontId="11" fillId="0" borderId="43" xfId="3" applyNumberFormat="1" applyFont="1" applyBorder="1" applyAlignment="1" applyProtection="1">
      <alignment horizontal="right" vertical="center"/>
      <protection locked="0"/>
    </xf>
    <xf numFmtId="178" fontId="11" fillId="3" borderId="41" xfId="3" applyNumberFormat="1" applyFont="1" applyFill="1" applyBorder="1" applyAlignment="1" applyProtection="1">
      <alignment horizontal="right" vertical="center"/>
      <protection locked="0"/>
    </xf>
    <xf numFmtId="179" fontId="11" fillId="3" borderId="41" xfId="3" applyNumberFormat="1" applyFont="1" applyFill="1" applyBorder="1" applyAlignment="1" applyProtection="1">
      <alignment horizontal="right" vertical="center"/>
      <protection locked="0"/>
    </xf>
    <xf numFmtId="178" fontId="11" fillId="0" borderId="41" xfId="3" applyNumberFormat="1" applyFont="1" applyBorder="1" applyAlignment="1" applyProtection="1">
      <alignment horizontal="right"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0" borderId="43" xfId="3" applyFont="1" applyBorder="1" applyAlignment="1" applyProtection="1">
      <alignment horizontal="center" vertical="center"/>
      <protection locked="0"/>
    </xf>
    <xf numFmtId="0" fontId="11" fillId="0" borderId="39" xfId="3" applyFont="1" applyBorder="1" applyAlignment="1" applyProtection="1">
      <alignment horizontal="center" vertical="center"/>
      <protection locked="0"/>
    </xf>
    <xf numFmtId="0" fontId="13" fillId="2" borderId="42" xfId="3" applyFont="1" applyFill="1" applyBorder="1" applyAlignment="1">
      <alignment horizontal="center" vertical="center"/>
    </xf>
    <xf numFmtId="176" fontId="12" fillId="0" borderId="41" xfId="3" applyNumberFormat="1" applyFont="1" applyBorder="1" applyAlignment="1">
      <alignment horizontal="right" vertical="center"/>
    </xf>
    <xf numFmtId="0" fontId="11" fillId="0" borderId="40" xfId="3" applyFont="1" applyBorder="1" applyAlignment="1" applyProtection="1">
      <alignment horizontal="center" vertical="center"/>
      <protection locked="0"/>
    </xf>
    <xf numFmtId="177" fontId="11" fillId="3" borderId="45" xfId="3" applyNumberFormat="1" applyFont="1" applyFill="1" applyBorder="1" applyAlignment="1" applyProtection="1">
      <alignment horizontal="center" vertical="center"/>
      <protection locked="0"/>
    </xf>
    <xf numFmtId="177" fontId="11" fillId="3" borderId="43" xfId="3" applyNumberFormat="1" applyFont="1" applyFill="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0" fontId="11" fillId="3" borderId="43" xfId="3" applyFont="1" applyFill="1" applyBorder="1" applyAlignment="1" applyProtection="1">
      <alignment horizontal="center" vertical="center"/>
      <protection locked="0"/>
    </xf>
    <xf numFmtId="177" fontId="11" fillId="0" borderId="45" xfId="3" applyNumberFormat="1" applyFont="1" applyBorder="1" applyAlignment="1" applyProtection="1">
      <alignment horizontal="center" vertical="center"/>
      <protection locked="0"/>
    </xf>
    <xf numFmtId="177" fontId="11" fillId="0" borderId="44" xfId="3" applyNumberFormat="1" applyFont="1" applyBorder="1" applyAlignment="1" applyProtection="1">
      <alignment horizontal="center" vertical="center"/>
      <protection locked="0"/>
    </xf>
    <xf numFmtId="177" fontId="11" fillId="0" borderId="43" xfId="3" applyNumberFormat="1" applyFont="1" applyBorder="1" applyAlignment="1" applyProtection="1">
      <alignment horizontal="center" vertical="center"/>
      <protection locked="0"/>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0" fontId="11" fillId="3" borderId="43" xfId="3" applyFont="1" applyFill="1" applyBorder="1" applyAlignment="1">
      <alignment horizontal="center" vertical="center"/>
    </xf>
    <xf numFmtId="38" fontId="17" fillId="0" borderId="41" xfId="7" applyFont="1" applyFill="1" applyBorder="1" applyAlignment="1" applyProtection="1">
      <alignment horizontal="right" vertical="center"/>
      <protection locked="0"/>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4" borderId="43" xfId="6" applyFont="1" applyFill="1" applyBorder="1" applyAlignment="1">
      <alignment horizontal="center" vertical="center"/>
    </xf>
    <xf numFmtId="0" fontId="17" fillId="0" borderId="44" xfId="6" applyFont="1" applyBorder="1" applyAlignment="1">
      <alignment horizontal="center" vertical="center"/>
    </xf>
    <xf numFmtId="0" fontId="17" fillId="0" borderId="50" xfId="6" applyFont="1" applyBorder="1" applyAlignment="1">
      <alignment horizontal="center" vertical="center"/>
    </xf>
    <xf numFmtId="0" fontId="17" fillId="4" borderId="41" xfId="6" applyFont="1" applyFill="1" applyBorder="1" applyAlignment="1">
      <alignment horizontal="center" vertical="center"/>
    </xf>
    <xf numFmtId="38" fontId="32" fillId="0" borderId="41" xfId="7" applyFont="1" applyFill="1" applyBorder="1" applyAlignment="1" applyProtection="1">
      <alignment horizontal="right" vertical="center"/>
    </xf>
    <xf numFmtId="0" fontId="17" fillId="0" borderId="0" xfId="6" applyFont="1" applyAlignment="1" applyProtection="1">
      <alignment horizontal="right" vertical="center"/>
      <protection locked="0"/>
    </xf>
    <xf numFmtId="0" fontId="27" fillId="0" borderId="1" xfId="6" applyFont="1" applyBorder="1" applyAlignment="1">
      <alignment horizontal="center" vertical="center"/>
    </xf>
    <xf numFmtId="0" fontId="23" fillId="0" borderId="0" xfId="6" applyFont="1" applyAlignment="1" applyProtection="1">
      <alignment horizontal="right" vertical="center"/>
      <protection locked="0"/>
    </xf>
    <xf numFmtId="38" fontId="24" fillId="0" borderId="0" xfId="7" applyFont="1" applyBorder="1" applyAlignment="1">
      <alignment horizontal="center" vertical="center"/>
    </xf>
    <xf numFmtId="38" fontId="24" fillId="0" borderId="48" xfId="7" applyFont="1" applyBorder="1" applyAlignment="1">
      <alignment horizontal="center" vertical="center"/>
    </xf>
    <xf numFmtId="0" fontId="20" fillId="0" borderId="0" xfId="6" applyFont="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8" xfId="6" applyFont="1" applyBorder="1" applyAlignment="1">
      <alignment horizontal="center" vertical="center"/>
    </xf>
    <xf numFmtId="0" fontId="28" fillId="0" borderId="0" xfId="6" applyFont="1" applyAlignment="1">
      <alignment horizontal="center" vertical="center"/>
    </xf>
    <xf numFmtId="0" fontId="26" fillId="0" borderId="47" xfId="6" applyFont="1" applyBorder="1" applyAlignment="1">
      <alignment horizontal="center" vertical="center"/>
    </xf>
    <xf numFmtId="0" fontId="33" fillId="0" borderId="44" xfId="6" applyFont="1" applyBorder="1" applyAlignment="1" applyProtection="1">
      <alignment horizontal="center" vertical="center"/>
      <protection locked="0"/>
    </xf>
    <xf numFmtId="0" fontId="33" fillId="0" borderId="43" xfId="6" applyFont="1" applyBorder="1" applyAlignment="1" applyProtection="1">
      <alignment horizontal="center" vertical="center"/>
      <protection locked="0"/>
    </xf>
    <xf numFmtId="0" fontId="36" fillId="0" borderId="52" xfId="6" applyFont="1" applyBorder="1" applyAlignment="1">
      <alignment horizontal="center" vertical="center"/>
    </xf>
    <xf numFmtId="0" fontId="17" fillId="0" borderId="44" xfId="6" applyFont="1" applyBorder="1" applyAlignment="1" applyProtection="1">
      <alignment horizontal="center" vertical="center"/>
      <protection locked="0"/>
    </xf>
    <xf numFmtId="0" fontId="17" fillId="0" borderId="43" xfId="6" applyFont="1" applyBorder="1" applyAlignment="1" applyProtection="1">
      <alignment horizontal="center" vertical="center"/>
      <protection locked="0"/>
    </xf>
    <xf numFmtId="181" fontId="17" fillId="0" borderId="0" xfId="6" applyNumberFormat="1" applyFont="1" applyAlignment="1">
      <alignment horizontal="center" vertical="center"/>
    </xf>
    <xf numFmtId="0" fontId="17" fillId="0" borderId="0" xfId="6" applyFont="1" applyAlignment="1">
      <alignment horizontal="center" vertical="center"/>
    </xf>
    <xf numFmtId="0" fontId="22" fillId="0" borderId="0" xfId="6" applyFont="1" applyAlignment="1">
      <alignment horizontal="center" vertical="center"/>
    </xf>
    <xf numFmtId="0" fontId="37" fillId="0" borderId="0" xfId="6" applyFont="1" applyAlignment="1">
      <alignment horizontal="center" vertical="center"/>
    </xf>
    <xf numFmtId="0" fontId="37" fillId="0" borderId="49" xfId="6" applyFont="1" applyBorder="1" applyAlignment="1">
      <alignment horizontal="center" vertical="center"/>
    </xf>
    <xf numFmtId="180" fontId="35" fillId="0" borderId="0" xfId="6" applyNumberFormat="1" applyFont="1" applyAlignment="1">
      <alignment horizontal="center" vertical="center"/>
    </xf>
    <xf numFmtId="180" fontId="35" fillId="0" borderId="52" xfId="6" applyNumberFormat="1" applyFont="1" applyBorder="1" applyAlignment="1">
      <alignment horizontal="center" vertical="center"/>
    </xf>
    <xf numFmtId="38" fontId="17" fillId="0" borderId="41" xfId="7" applyFont="1" applyFill="1" applyBorder="1" applyAlignment="1" applyProtection="1">
      <alignment horizontal="right" vertical="center"/>
    </xf>
    <xf numFmtId="181" fontId="17" fillId="0" borderId="0" xfId="6" applyNumberFormat="1" applyFont="1" applyAlignment="1">
      <alignment horizontal="right" vertical="center"/>
    </xf>
    <xf numFmtId="0" fontId="27" fillId="0" borderId="47" xfId="6" applyFont="1" applyBorder="1" applyAlignment="1">
      <alignment horizontal="center" vertical="center"/>
    </xf>
    <xf numFmtId="0" fontId="11" fillId="6" borderId="0" xfId="3" applyFont="1" applyFill="1" applyAlignment="1" applyProtection="1">
      <alignment horizontal="right" vertical="center"/>
      <protection locked="0"/>
    </xf>
    <xf numFmtId="178" fontId="11" fillId="3" borderId="45" xfId="3" applyNumberFormat="1" applyFont="1" applyFill="1" applyBorder="1" applyAlignment="1">
      <alignment horizontal="right" vertical="center"/>
    </xf>
    <xf numFmtId="178" fontId="11" fillId="3" borderId="44" xfId="3" applyNumberFormat="1" applyFont="1" applyFill="1" applyBorder="1" applyAlignment="1">
      <alignment horizontal="right" vertical="center"/>
    </xf>
    <xf numFmtId="178" fontId="11" fillId="3" borderId="43" xfId="3" applyNumberFormat="1" applyFont="1" applyFill="1" applyBorder="1" applyAlignment="1">
      <alignment horizontal="right" vertical="center"/>
    </xf>
    <xf numFmtId="179" fontId="11" fillId="5" borderId="45" xfId="3" applyNumberFormat="1" applyFont="1" applyFill="1" applyBorder="1" applyAlignment="1" applyProtection="1">
      <alignment horizontal="right" vertical="center"/>
      <protection locked="0"/>
    </xf>
    <xf numFmtId="179" fontId="11" fillId="5" borderId="44" xfId="3" applyNumberFormat="1" applyFont="1" applyFill="1" applyBorder="1" applyAlignment="1" applyProtection="1">
      <alignment horizontal="right" vertical="center"/>
      <protection locked="0"/>
    </xf>
    <xf numFmtId="179" fontId="11" fillId="5" borderId="43" xfId="3" applyNumberFormat="1" applyFont="1" applyFill="1" applyBorder="1" applyAlignment="1" applyProtection="1">
      <alignment horizontal="right" vertical="center"/>
      <protection locked="0"/>
    </xf>
    <xf numFmtId="178" fontId="15" fillId="5" borderId="45" xfId="4" applyNumberFormat="1" applyFont="1" applyFill="1" applyBorder="1" applyAlignment="1" applyProtection="1">
      <alignment horizontal="right" vertical="center"/>
      <protection locked="0"/>
    </xf>
    <xf numFmtId="178" fontId="15" fillId="5" borderId="44" xfId="4" applyNumberFormat="1" applyFont="1" applyFill="1" applyBorder="1" applyAlignment="1" applyProtection="1">
      <alignment horizontal="right" vertical="center"/>
      <protection locked="0"/>
    </xf>
    <xf numFmtId="178" fontId="15" fillId="5" borderId="43" xfId="4" applyNumberFormat="1" applyFont="1" applyFill="1" applyBorder="1" applyAlignment="1" applyProtection="1">
      <alignment horizontal="right" vertical="center"/>
      <protection locked="0"/>
    </xf>
    <xf numFmtId="178" fontId="11" fillId="3" borderId="45" xfId="3" applyNumberFormat="1" applyFont="1" applyFill="1" applyBorder="1" applyAlignment="1" applyProtection="1">
      <alignment horizontal="right" vertical="center"/>
      <protection locked="0"/>
    </xf>
    <xf numFmtId="178" fontId="11" fillId="3" borderId="44" xfId="3" applyNumberFormat="1" applyFont="1" applyFill="1" applyBorder="1" applyAlignment="1" applyProtection="1">
      <alignment horizontal="right" vertical="center"/>
      <protection locked="0"/>
    </xf>
    <xf numFmtId="178" fontId="11" fillId="3" borderId="43" xfId="3" applyNumberFormat="1" applyFont="1" applyFill="1" applyBorder="1" applyAlignment="1" applyProtection="1">
      <alignment horizontal="right" vertical="center"/>
      <protection locked="0"/>
    </xf>
    <xf numFmtId="179" fontId="11" fillId="3" borderId="45" xfId="3" applyNumberFormat="1" applyFont="1" applyFill="1" applyBorder="1" applyAlignment="1" applyProtection="1">
      <alignment horizontal="right" vertical="center"/>
      <protection locked="0"/>
    </xf>
    <xf numFmtId="179" fontId="11" fillId="3" borderId="44" xfId="3" applyNumberFormat="1" applyFont="1" applyFill="1" applyBorder="1" applyAlignment="1" applyProtection="1">
      <alignment horizontal="right" vertical="center"/>
      <protection locked="0"/>
    </xf>
    <xf numFmtId="179" fontId="11" fillId="3" borderId="43" xfId="3" applyNumberFormat="1" applyFont="1" applyFill="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179" fontId="11" fillId="0" borderId="43" xfId="3" applyNumberFormat="1" applyFont="1" applyBorder="1" applyAlignment="1" applyProtection="1">
      <alignment horizontal="right" vertical="center"/>
      <protection locked="0"/>
    </xf>
    <xf numFmtId="178" fontId="11" fillId="6" borderId="45" xfId="3" applyNumberFormat="1" applyFont="1" applyFill="1" applyBorder="1" applyAlignment="1" applyProtection="1">
      <alignment horizontal="right" vertical="center"/>
      <protection locked="0"/>
    </xf>
    <xf numFmtId="178" fontId="11" fillId="6" borderId="44" xfId="3" applyNumberFormat="1" applyFont="1" applyFill="1" applyBorder="1" applyAlignment="1" applyProtection="1">
      <alignment horizontal="right" vertical="center"/>
      <protection locked="0"/>
    </xf>
    <xf numFmtId="178" fontId="11" fillId="6" borderId="43" xfId="3" applyNumberFormat="1" applyFont="1" applyFill="1" applyBorder="1" applyAlignment="1" applyProtection="1">
      <alignment horizontal="right" vertical="center"/>
      <protection locked="0"/>
    </xf>
    <xf numFmtId="0" fontId="11" fillId="10" borderId="45" xfId="3" applyFont="1" applyFill="1" applyBorder="1" applyAlignment="1">
      <alignment horizontal="center" vertical="center"/>
    </xf>
    <xf numFmtId="0" fontId="11" fillId="10" borderId="44" xfId="3" applyFont="1" applyFill="1" applyBorder="1" applyAlignment="1">
      <alignment horizontal="center" vertical="center"/>
    </xf>
    <xf numFmtId="0" fontId="11" fillId="10" borderId="43" xfId="3" applyFont="1" applyFill="1" applyBorder="1" applyAlignment="1">
      <alignment horizontal="center" vertical="center"/>
    </xf>
    <xf numFmtId="178" fontId="11" fillId="10" borderId="41" xfId="4" applyNumberFormat="1" applyFont="1" applyFill="1" applyBorder="1" applyAlignment="1" applyProtection="1">
      <alignment horizontal="right" vertical="center"/>
      <protection locked="0"/>
    </xf>
    <xf numFmtId="179" fontId="11" fillId="10" borderId="41" xfId="3" applyNumberFormat="1" applyFont="1" applyFill="1" applyBorder="1" applyAlignment="1">
      <alignment horizontal="right" vertical="center"/>
    </xf>
    <xf numFmtId="178" fontId="11" fillId="10" borderId="41" xfId="3" applyNumberFormat="1" applyFont="1" applyFill="1" applyBorder="1" applyAlignment="1">
      <alignment horizontal="right" vertical="center"/>
    </xf>
    <xf numFmtId="0" fontId="11" fillId="10" borderId="45" xfId="3" applyFont="1" applyFill="1" applyBorder="1" applyAlignment="1" applyProtection="1">
      <alignment horizontal="center" vertical="center"/>
      <protection locked="0"/>
    </xf>
    <xf numFmtId="0" fontId="11" fillId="10" borderId="44" xfId="3" applyFont="1" applyFill="1" applyBorder="1" applyAlignment="1" applyProtection="1">
      <alignment horizontal="center" vertical="center"/>
      <protection locked="0"/>
    </xf>
    <xf numFmtId="0" fontId="11" fillId="10" borderId="43" xfId="3" applyFont="1" applyFill="1" applyBorder="1" applyAlignment="1" applyProtection="1">
      <alignment horizontal="center" vertical="center"/>
      <protection locked="0"/>
    </xf>
    <xf numFmtId="182" fontId="17" fillId="0" borderId="0" xfId="6" applyNumberFormat="1" applyFont="1" applyAlignment="1">
      <alignment horizontal="center" vertical="center"/>
    </xf>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
  <sheetViews>
    <sheetView tabSelected="1" workbookViewId="0">
      <selection activeCell="E11" sqref="E11"/>
    </sheetView>
  </sheetViews>
  <sheetFormatPr defaultRowHeight="18.75"/>
  <cols>
    <col min="1" max="1" width="17.25" bestFit="1" customWidth="1"/>
    <col min="2" max="2" width="10.25" bestFit="1" customWidth="1"/>
    <col min="11" max="11" width="11.625" customWidth="1"/>
    <col min="12" max="12" width="1" customWidth="1"/>
    <col min="13" max="13" width="7.125" bestFit="1" customWidth="1"/>
    <col min="14" max="14" width="9" bestFit="1" customWidth="1"/>
  </cols>
  <sheetData>
    <row r="1" spans="1:14">
      <c r="A1" s="61" t="s">
        <v>85</v>
      </c>
      <c r="B1" s="62">
        <v>44341</v>
      </c>
      <c r="D1" s="63" t="s">
        <v>83</v>
      </c>
      <c r="E1" s="63"/>
      <c r="G1" s="56" t="s">
        <v>84</v>
      </c>
      <c r="H1" s="55"/>
      <c r="I1" s="55"/>
      <c r="J1" s="55"/>
    </row>
    <row r="2" spans="1:14">
      <c r="A2" s="56"/>
      <c r="B2" s="56" t="str">
        <f>MONTH(B1) - 1 &amp; "月分工賃"</f>
        <v>4月分工賃</v>
      </c>
    </row>
    <row r="3" spans="1:14">
      <c r="B3" s="56" t="str">
        <f>"令和" &amp; YEAR(B1)-2018 &amp; "年" &amp; MONTH(B1) &amp; "月" &amp; DAY(B1) &amp; "日"</f>
        <v>令和3年5月25日</v>
      </c>
    </row>
    <row r="4" spans="1:14" ht="19.5" thickBot="1">
      <c r="A4" s="59" t="s">
        <v>73</v>
      </c>
      <c r="B4" s="59" t="s">
        <v>35</v>
      </c>
      <c r="C4" s="59" t="s">
        <v>61</v>
      </c>
      <c r="D4" s="59" t="s">
        <v>74</v>
      </c>
      <c r="E4" s="59" t="s">
        <v>75</v>
      </c>
      <c r="F4" s="59" t="s">
        <v>79</v>
      </c>
      <c r="G4" s="59" t="s">
        <v>76</v>
      </c>
      <c r="H4" s="59" t="s">
        <v>77</v>
      </c>
      <c r="I4" s="59" t="s">
        <v>80</v>
      </c>
      <c r="J4" s="59" t="s">
        <v>78</v>
      </c>
      <c r="K4" s="59" t="s">
        <v>81</v>
      </c>
      <c r="M4" s="65" t="s">
        <v>86</v>
      </c>
      <c r="N4" s="64" t="s">
        <v>87</v>
      </c>
    </row>
    <row r="5" spans="1:14" ht="19.5" thickTop="1">
      <c r="A5" s="60" t="s">
        <v>88</v>
      </c>
      <c r="B5" s="60">
        <v>18</v>
      </c>
      <c r="C5" s="60">
        <v>800</v>
      </c>
      <c r="D5" s="60">
        <v>4000</v>
      </c>
      <c r="E5" s="60">
        <v>18400</v>
      </c>
      <c r="F5" s="60"/>
      <c r="G5" s="60">
        <v>18400</v>
      </c>
      <c r="H5" s="60">
        <v>0</v>
      </c>
      <c r="I5" s="60">
        <v>0</v>
      </c>
      <c r="J5" s="60">
        <v>1480</v>
      </c>
      <c r="K5" s="60">
        <v>18400</v>
      </c>
      <c r="L5" s="60"/>
      <c r="M5" s="60"/>
      <c r="N5" s="60">
        <v>18400</v>
      </c>
    </row>
    <row r="6" spans="1:14">
      <c r="A6" s="60" t="s">
        <v>89</v>
      </c>
      <c r="B6" s="60">
        <v>17</v>
      </c>
      <c r="C6" s="60">
        <v>800</v>
      </c>
      <c r="D6" s="60">
        <v>4000</v>
      </c>
      <c r="E6" s="60">
        <v>21600</v>
      </c>
      <c r="F6" s="60"/>
      <c r="G6" s="60">
        <v>21600</v>
      </c>
      <c r="H6" s="60">
        <v>22</v>
      </c>
      <c r="I6" s="60">
        <v>2200</v>
      </c>
      <c r="J6" s="60">
        <v>2000</v>
      </c>
      <c r="K6" s="60">
        <v>19400</v>
      </c>
      <c r="L6" s="60"/>
      <c r="M6" s="60"/>
      <c r="N6" s="60">
        <v>19400</v>
      </c>
    </row>
    <row r="7" spans="1:14">
      <c r="A7" s="60" t="s">
        <v>90</v>
      </c>
      <c r="B7" s="60">
        <v>22</v>
      </c>
      <c r="C7" s="60">
        <v>800</v>
      </c>
      <c r="D7" s="60">
        <v>2500</v>
      </c>
      <c r="E7" s="60">
        <v>12900</v>
      </c>
      <c r="F7" s="60"/>
      <c r="G7" s="60">
        <v>12900</v>
      </c>
      <c r="H7" s="60">
        <v>5</v>
      </c>
      <c r="I7" s="60">
        <v>500</v>
      </c>
      <c r="J7" s="60"/>
      <c r="K7" s="60">
        <v>12400</v>
      </c>
      <c r="L7" s="60"/>
      <c r="M7" s="60"/>
      <c r="N7" s="60">
        <v>12400</v>
      </c>
    </row>
    <row r="8" spans="1:14">
      <c r="A8" s="60" t="s">
        <v>91</v>
      </c>
      <c r="B8" s="60">
        <v>15</v>
      </c>
      <c r="C8" s="60">
        <v>800</v>
      </c>
      <c r="D8" s="60">
        <v>4000</v>
      </c>
      <c r="E8" s="60">
        <v>21600</v>
      </c>
      <c r="F8" s="60"/>
      <c r="G8" s="60">
        <v>21600</v>
      </c>
      <c r="H8" s="60">
        <v>4</v>
      </c>
      <c r="I8" s="60">
        <v>400</v>
      </c>
      <c r="J8" s="60"/>
      <c r="K8" s="60">
        <v>21200</v>
      </c>
      <c r="L8" s="60"/>
      <c r="M8" s="60"/>
      <c r="N8" s="60">
        <v>21200</v>
      </c>
    </row>
    <row r="9" spans="1:14">
      <c r="A9" s="60" t="s">
        <v>92</v>
      </c>
      <c r="B9" s="60">
        <v>17</v>
      </c>
      <c r="C9" s="60">
        <v>800</v>
      </c>
      <c r="D9" s="60">
        <v>4000</v>
      </c>
      <c r="E9" s="60">
        <v>22400</v>
      </c>
      <c r="F9" s="60"/>
      <c r="G9" s="60">
        <v>22400</v>
      </c>
      <c r="H9" s="60">
        <v>23</v>
      </c>
      <c r="I9" s="60">
        <v>2300</v>
      </c>
      <c r="J9" s="60"/>
      <c r="K9" s="60">
        <v>20100</v>
      </c>
      <c r="L9" s="60"/>
      <c r="M9" s="60"/>
      <c r="N9" s="60">
        <v>20100</v>
      </c>
    </row>
    <row r="10" spans="1:14">
      <c r="A10" s="60" t="s">
        <v>93</v>
      </c>
      <c r="B10" s="60">
        <v>14</v>
      </c>
      <c r="C10" s="60">
        <v>800</v>
      </c>
      <c r="D10" s="60">
        <v>4000</v>
      </c>
      <c r="E10" s="60">
        <v>19200</v>
      </c>
      <c r="F10" s="60"/>
      <c r="G10" s="60">
        <v>19200</v>
      </c>
      <c r="H10" s="60">
        <v>7</v>
      </c>
      <c r="I10" s="60">
        <v>700</v>
      </c>
      <c r="J10" s="60"/>
      <c r="K10" s="60">
        <v>18500</v>
      </c>
      <c r="L10" s="60"/>
      <c r="M10" s="60">
        <v>1425</v>
      </c>
      <c r="N10" s="60">
        <v>19925</v>
      </c>
    </row>
    <row r="11" spans="1:14">
      <c r="A11" s="60" t="s">
        <v>94</v>
      </c>
      <c r="B11" s="60">
        <v>21</v>
      </c>
      <c r="C11" s="60">
        <v>800</v>
      </c>
      <c r="D11" s="60">
        <v>4000</v>
      </c>
      <c r="E11" s="60">
        <v>20000</v>
      </c>
      <c r="F11" s="60"/>
      <c r="G11" s="60">
        <v>20000</v>
      </c>
      <c r="H11" s="60">
        <v>19</v>
      </c>
      <c r="I11" s="60">
        <v>1900</v>
      </c>
      <c r="J11" s="60"/>
      <c r="K11" s="60">
        <v>18100</v>
      </c>
      <c r="L11" s="60"/>
      <c r="M11" s="60"/>
      <c r="N11" s="60">
        <v>18100</v>
      </c>
    </row>
    <row r="12" spans="1:14">
      <c r="A12" s="60" t="s">
        <v>95</v>
      </c>
      <c r="B12" s="60">
        <v>23</v>
      </c>
      <c r="C12" s="60">
        <v>800</v>
      </c>
      <c r="D12" s="60">
        <v>4000</v>
      </c>
      <c r="E12" s="60">
        <v>21600</v>
      </c>
      <c r="F12" s="60"/>
      <c r="G12" s="60">
        <v>21600</v>
      </c>
      <c r="H12" s="60">
        <v>0</v>
      </c>
      <c r="I12" s="60">
        <v>0</v>
      </c>
      <c r="J12" s="60"/>
      <c r="K12" s="60">
        <v>21600</v>
      </c>
      <c r="L12" s="60"/>
      <c r="M12" s="60"/>
      <c r="N12" s="60">
        <v>21600</v>
      </c>
    </row>
    <row r="13" spans="1:14">
      <c r="A13" s="60" t="s">
        <v>96</v>
      </c>
      <c r="B13" s="60">
        <v>17</v>
      </c>
      <c r="C13" s="60">
        <v>800</v>
      </c>
      <c r="D13" s="60">
        <v>4000</v>
      </c>
      <c r="E13" s="60">
        <v>22400</v>
      </c>
      <c r="F13" s="60"/>
      <c r="G13" s="60">
        <v>22400</v>
      </c>
      <c r="H13" s="60">
        <v>1</v>
      </c>
      <c r="I13" s="60">
        <v>100</v>
      </c>
      <c r="J13" s="60"/>
      <c r="K13" s="60">
        <v>22300</v>
      </c>
      <c r="L13" s="60"/>
      <c r="M13" s="60"/>
      <c r="N13" s="60">
        <v>22300</v>
      </c>
    </row>
    <row r="14" spans="1:14">
      <c r="A14" s="60" t="s">
        <v>97</v>
      </c>
      <c r="B14" s="60">
        <v>18</v>
      </c>
      <c r="C14" s="60">
        <v>800</v>
      </c>
      <c r="D14" s="60">
        <v>2500</v>
      </c>
      <c r="E14" s="60">
        <v>13700</v>
      </c>
      <c r="F14" s="60"/>
      <c r="G14" s="60">
        <v>13700</v>
      </c>
      <c r="H14" s="60">
        <v>0</v>
      </c>
      <c r="I14" s="60">
        <v>0</v>
      </c>
      <c r="J14" s="60"/>
      <c r="K14" s="60">
        <v>13700</v>
      </c>
      <c r="L14" s="60"/>
      <c r="M14" s="60"/>
      <c r="N14" s="60">
        <v>13700</v>
      </c>
    </row>
    <row r="15" spans="1:14">
      <c r="A15" s="60" t="s">
        <v>98</v>
      </c>
      <c r="B15" s="60">
        <v>1</v>
      </c>
      <c r="C15" s="60">
        <v>800</v>
      </c>
      <c r="D15" s="60">
        <v>0</v>
      </c>
      <c r="E15" s="60">
        <v>800</v>
      </c>
      <c r="F15" s="60"/>
      <c r="G15" s="60">
        <v>800</v>
      </c>
      <c r="H15" s="60">
        <v>1</v>
      </c>
      <c r="I15" s="60">
        <v>100</v>
      </c>
      <c r="J15" s="60"/>
      <c r="K15" s="60">
        <v>700</v>
      </c>
      <c r="L15" s="60"/>
      <c r="M15" s="60"/>
      <c r="N15" s="60">
        <v>700</v>
      </c>
    </row>
    <row r="16" spans="1:14">
      <c r="A16" s="60" t="s">
        <v>99</v>
      </c>
      <c r="B16" s="60">
        <v>5</v>
      </c>
      <c r="C16" s="60">
        <v>800</v>
      </c>
      <c r="D16" s="60">
        <v>4000</v>
      </c>
      <c r="E16" s="60">
        <v>21600</v>
      </c>
      <c r="F16" s="60"/>
      <c r="G16" s="60">
        <v>21600</v>
      </c>
      <c r="H16" s="60">
        <v>0</v>
      </c>
      <c r="I16" s="60">
        <v>0</v>
      </c>
      <c r="J16" s="60"/>
      <c r="K16" s="60">
        <v>21600</v>
      </c>
      <c r="L16" s="60"/>
      <c r="M16" s="60"/>
      <c r="N16" s="60">
        <v>21600</v>
      </c>
    </row>
    <row r="17" spans="1:14">
      <c r="A17" s="60" t="s">
        <v>100</v>
      </c>
      <c r="B17" s="60">
        <v>7</v>
      </c>
      <c r="C17" s="60">
        <v>800</v>
      </c>
      <c r="D17" s="60">
        <v>0</v>
      </c>
      <c r="E17" s="60">
        <v>7200</v>
      </c>
      <c r="F17" s="60"/>
      <c r="G17" s="60">
        <v>7200</v>
      </c>
      <c r="H17" s="60">
        <v>0</v>
      </c>
      <c r="I17" s="60">
        <v>0</v>
      </c>
      <c r="J17" s="60"/>
      <c r="K17" s="60">
        <v>7200</v>
      </c>
      <c r="L17" s="60"/>
      <c r="M17" s="60"/>
      <c r="N17" s="60">
        <v>7200</v>
      </c>
    </row>
    <row r="18" spans="1:14">
      <c r="A18" s="60" t="s">
        <v>101</v>
      </c>
      <c r="B18" s="60">
        <v>21</v>
      </c>
      <c r="C18" s="60">
        <v>800</v>
      </c>
      <c r="D18" s="60">
        <v>4000</v>
      </c>
      <c r="E18" s="60">
        <v>22400</v>
      </c>
      <c r="F18" s="60"/>
      <c r="G18" s="60">
        <v>22400</v>
      </c>
      <c r="H18" s="60">
        <v>23</v>
      </c>
      <c r="I18" s="60">
        <v>2300</v>
      </c>
      <c r="J18" s="60"/>
      <c r="K18" s="60">
        <v>20100</v>
      </c>
      <c r="L18" s="60"/>
      <c r="M18" s="60"/>
      <c r="N18" s="60">
        <v>20100</v>
      </c>
    </row>
    <row r="19" spans="1:14">
      <c r="A19" s="60" t="s">
        <v>102</v>
      </c>
      <c r="B19" s="60">
        <v>21</v>
      </c>
      <c r="C19" s="60">
        <v>800</v>
      </c>
      <c r="D19" s="60">
        <v>4000</v>
      </c>
      <c r="E19" s="60">
        <v>22400</v>
      </c>
      <c r="F19" s="60"/>
      <c r="G19" s="60">
        <v>22400</v>
      </c>
      <c r="H19" s="60">
        <v>1</v>
      </c>
      <c r="I19" s="60">
        <v>100</v>
      </c>
      <c r="J19" s="60"/>
      <c r="K19" s="60">
        <v>22300</v>
      </c>
      <c r="L19" s="60"/>
      <c r="M19" s="60"/>
      <c r="N19" s="60">
        <v>22300</v>
      </c>
    </row>
    <row r="20" spans="1:14">
      <c r="A20" s="60" t="s">
        <v>103</v>
      </c>
      <c r="B20" s="60">
        <v>20</v>
      </c>
      <c r="C20" s="60">
        <v>800</v>
      </c>
      <c r="D20" s="60">
        <v>4000</v>
      </c>
      <c r="E20" s="60">
        <v>22400</v>
      </c>
      <c r="F20" s="60"/>
      <c r="G20" s="60">
        <v>22400</v>
      </c>
      <c r="H20" s="60">
        <v>0</v>
      </c>
      <c r="I20" s="60">
        <v>0</v>
      </c>
      <c r="J20" s="60"/>
      <c r="K20" s="60">
        <v>22400</v>
      </c>
      <c r="L20" s="60"/>
      <c r="M20" s="60"/>
      <c r="N20" s="60">
        <v>22400</v>
      </c>
    </row>
    <row r="21" spans="1:14">
      <c r="A21" s="60" t="s">
        <v>104</v>
      </c>
      <c r="B21" s="60">
        <v>5</v>
      </c>
      <c r="C21" s="60">
        <v>800</v>
      </c>
      <c r="D21" s="60">
        <v>0</v>
      </c>
      <c r="E21" s="60">
        <v>6400</v>
      </c>
      <c r="F21" s="60"/>
      <c r="G21" s="60">
        <v>6400</v>
      </c>
      <c r="H21" s="60">
        <v>0</v>
      </c>
      <c r="I21" s="60">
        <v>0</v>
      </c>
      <c r="J21" s="60"/>
      <c r="K21" s="60">
        <v>6400</v>
      </c>
      <c r="L21" s="60"/>
      <c r="M21" s="60"/>
      <c r="N21" s="60">
        <v>6400</v>
      </c>
    </row>
    <row r="22" spans="1:14">
      <c r="A22" s="60" t="s">
        <v>105</v>
      </c>
      <c r="B22" s="60">
        <v>23</v>
      </c>
      <c r="C22" s="60">
        <v>800</v>
      </c>
      <c r="D22" s="60">
        <v>2500</v>
      </c>
      <c r="E22" s="60">
        <v>16100</v>
      </c>
      <c r="F22" s="60"/>
      <c r="G22" s="60">
        <v>16100</v>
      </c>
      <c r="H22" s="60">
        <v>17</v>
      </c>
      <c r="I22" s="60">
        <v>1700</v>
      </c>
      <c r="J22" s="60"/>
      <c r="K22" s="60">
        <v>14400</v>
      </c>
      <c r="L22" s="60"/>
      <c r="M22" s="60"/>
      <c r="N22" s="60">
        <v>14400</v>
      </c>
    </row>
    <row r="23" spans="1:14">
      <c r="A23" s="60" t="s">
        <v>106</v>
      </c>
      <c r="B23" s="60">
        <v>21</v>
      </c>
      <c r="C23" s="60">
        <v>800</v>
      </c>
      <c r="D23" s="60">
        <v>2500</v>
      </c>
      <c r="E23" s="60">
        <v>13700</v>
      </c>
      <c r="F23" s="60"/>
      <c r="G23" s="60">
        <v>13700</v>
      </c>
      <c r="H23" s="60">
        <v>0</v>
      </c>
      <c r="I23" s="60">
        <v>0</v>
      </c>
      <c r="J23" s="60"/>
      <c r="K23" s="60">
        <v>13700</v>
      </c>
      <c r="L23" s="60"/>
      <c r="M23" s="60"/>
      <c r="N23" s="60">
        <v>13700</v>
      </c>
    </row>
    <row r="24" spans="1:14">
      <c r="A24" s="60" t="s">
        <v>107</v>
      </c>
      <c r="B24" s="60">
        <v>14</v>
      </c>
      <c r="C24" s="60">
        <v>800</v>
      </c>
      <c r="D24" s="60">
        <v>0</v>
      </c>
      <c r="E24" s="60">
        <v>1600</v>
      </c>
      <c r="F24" s="60"/>
      <c r="G24" s="60">
        <v>1600</v>
      </c>
      <c r="H24" s="60">
        <v>0</v>
      </c>
      <c r="I24" s="60">
        <v>0</v>
      </c>
      <c r="J24" s="60"/>
      <c r="K24" s="60">
        <v>1600</v>
      </c>
      <c r="L24" s="60"/>
      <c r="M24" s="60"/>
      <c r="N24" s="60">
        <v>1600</v>
      </c>
    </row>
    <row r="25" spans="1:14">
      <c r="A25" s="60" t="s">
        <v>108</v>
      </c>
      <c r="B25" s="60">
        <v>2</v>
      </c>
      <c r="C25" s="60">
        <v>800</v>
      </c>
      <c r="D25" s="60">
        <v>4000</v>
      </c>
      <c r="E25" s="60">
        <v>20000</v>
      </c>
      <c r="F25" s="60"/>
      <c r="G25" s="60">
        <v>20000</v>
      </c>
      <c r="H25" s="60">
        <v>0</v>
      </c>
      <c r="I25" s="60">
        <v>0</v>
      </c>
      <c r="J25" s="60"/>
      <c r="K25" s="60">
        <v>20000</v>
      </c>
      <c r="L25" s="60"/>
      <c r="M25" s="60"/>
      <c r="N25" s="60">
        <v>20000</v>
      </c>
    </row>
    <row r="26" spans="1:14">
      <c r="A26" s="60" t="s">
        <v>109</v>
      </c>
      <c r="B26" s="60">
        <v>1</v>
      </c>
      <c r="C26" s="60">
        <v>800</v>
      </c>
      <c r="D26" s="60">
        <v>2500</v>
      </c>
      <c r="E26" s="60">
        <v>15300</v>
      </c>
      <c r="F26" s="60"/>
      <c r="G26" s="60">
        <v>15300</v>
      </c>
      <c r="H26" s="60">
        <v>16</v>
      </c>
      <c r="I26" s="60">
        <v>1600</v>
      </c>
      <c r="J26" s="60"/>
      <c r="K26" s="60">
        <v>13700</v>
      </c>
      <c r="L26" s="60"/>
      <c r="M26" s="60"/>
      <c r="N26" s="60">
        <v>13700</v>
      </c>
    </row>
    <row r="27" spans="1:14">
      <c r="A27" s="60" t="s">
        <v>110</v>
      </c>
      <c r="B27" s="60">
        <v>5</v>
      </c>
      <c r="C27" s="60">
        <v>800</v>
      </c>
      <c r="D27" s="60">
        <v>0</v>
      </c>
      <c r="E27" s="60">
        <v>5600</v>
      </c>
      <c r="F27" s="60"/>
      <c r="G27" s="60">
        <v>5600</v>
      </c>
      <c r="H27" s="60">
        <v>0</v>
      </c>
      <c r="I27" s="60">
        <v>0</v>
      </c>
      <c r="J27" s="60"/>
      <c r="K27" s="60">
        <v>5600</v>
      </c>
      <c r="L27" s="60"/>
      <c r="M27" s="60"/>
      <c r="N27" s="60">
        <v>5600</v>
      </c>
    </row>
    <row r="28" spans="1:14">
      <c r="A28" s="60" t="s">
        <v>111</v>
      </c>
      <c r="B28" s="60">
        <v>4</v>
      </c>
      <c r="C28" s="60">
        <v>800</v>
      </c>
      <c r="D28" s="60">
        <v>0</v>
      </c>
      <c r="E28" s="60">
        <v>1600</v>
      </c>
      <c r="F28" s="60"/>
      <c r="G28" s="60">
        <v>1600</v>
      </c>
      <c r="H28" s="60">
        <v>0</v>
      </c>
      <c r="I28" s="60">
        <v>0</v>
      </c>
      <c r="J28" s="60"/>
      <c r="K28" s="60">
        <v>1600</v>
      </c>
      <c r="L28" s="60"/>
      <c r="M28" s="60"/>
      <c r="N28" s="60">
        <v>1600</v>
      </c>
    </row>
    <row r="29" spans="1:14">
      <c r="A29" s="60"/>
      <c r="B29" s="60"/>
      <c r="C29" s="60"/>
      <c r="D29" s="60"/>
      <c r="E29" s="60"/>
      <c r="F29" s="60"/>
      <c r="G29" s="60"/>
      <c r="H29" s="60"/>
      <c r="I29" s="60"/>
      <c r="J29" s="60"/>
      <c r="K29" s="60"/>
      <c r="L29" s="60"/>
      <c r="M29" s="60"/>
      <c r="N29" s="60"/>
    </row>
    <row r="30" spans="1:14">
      <c r="A30" s="60"/>
      <c r="B30" s="60"/>
      <c r="C30" s="60"/>
      <c r="D30" s="60"/>
      <c r="E30" s="60"/>
      <c r="F30" s="60"/>
      <c r="G30" s="60"/>
      <c r="H30" s="60"/>
      <c r="I30" s="60"/>
      <c r="J30" s="60"/>
      <c r="K30" s="60"/>
      <c r="L30" s="60"/>
      <c r="M30" s="60"/>
      <c r="N30" s="60"/>
    </row>
    <row r="31" spans="1:14">
      <c r="A31" s="60"/>
      <c r="B31" s="60"/>
      <c r="C31" s="60"/>
      <c r="D31" s="60"/>
      <c r="E31" s="60"/>
      <c r="F31" s="60"/>
      <c r="G31" s="60"/>
      <c r="H31" s="60"/>
      <c r="I31" s="60"/>
      <c r="J31" s="60"/>
      <c r="K31" s="60"/>
      <c r="L31" s="60"/>
      <c r="M31" s="60"/>
      <c r="N31" s="60"/>
    </row>
    <row r="32" spans="1:14">
      <c r="A32" s="60"/>
      <c r="B32" s="60"/>
      <c r="C32" s="60"/>
      <c r="D32" s="60"/>
      <c r="E32" s="60"/>
      <c r="F32" s="60"/>
      <c r="G32" s="60"/>
      <c r="H32" s="60"/>
      <c r="I32" s="60"/>
      <c r="J32" s="60"/>
      <c r="K32" s="60"/>
      <c r="L32" s="60"/>
      <c r="M32" s="60"/>
      <c r="N32" s="60"/>
    </row>
    <row r="33" spans="1:14">
      <c r="A33" s="60"/>
      <c r="B33" s="60"/>
      <c r="C33" s="60"/>
      <c r="D33" s="60"/>
      <c r="E33" s="60"/>
      <c r="F33" s="60"/>
      <c r="G33" s="60"/>
      <c r="H33" s="60"/>
      <c r="I33" s="60"/>
      <c r="J33" s="60"/>
      <c r="K33" s="60"/>
      <c r="L33" s="60"/>
      <c r="M33" s="60"/>
      <c r="N33" s="60"/>
    </row>
    <row r="34" spans="1:14">
      <c r="A34" s="60"/>
      <c r="B34" s="60"/>
      <c r="C34" s="60"/>
      <c r="D34" s="60"/>
      <c r="E34" s="60"/>
      <c r="F34" s="60"/>
      <c r="G34" s="60"/>
      <c r="H34" s="60"/>
      <c r="I34" s="60"/>
      <c r="J34" s="60"/>
      <c r="K34" s="60"/>
      <c r="L34" s="60"/>
      <c r="M34" s="60"/>
      <c r="N34" s="60"/>
    </row>
    <row r="35" spans="1:14">
      <c r="A35" s="60"/>
      <c r="B35" s="60"/>
      <c r="C35" s="60"/>
      <c r="D35" s="60"/>
      <c r="E35" s="60"/>
      <c r="F35" s="60"/>
      <c r="G35" s="60"/>
      <c r="H35" s="60"/>
      <c r="I35" s="60"/>
      <c r="J35" s="60"/>
      <c r="K35" s="60"/>
      <c r="L35" s="60"/>
      <c r="M35" s="60"/>
      <c r="N35" s="60"/>
    </row>
    <row r="36" spans="1:14">
      <c r="A36" s="60"/>
      <c r="B36" s="60"/>
      <c r="C36" s="60"/>
      <c r="D36" s="60"/>
      <c r="E36" s="60"/>
      <c r="F36" s="60"/>
      <c r="G36" s="60"/>
      <c r="H36" s="60"/>
      <c r="I36" s="60"/>
      <c r="J36" s="60"/>
      <c r="K36" s="60"/>
      <c r="L36" s="60"/>
      <c r="M36" s="60"/>
      <c r="N36" s="60"/>
    </row>
    <row r="37" spans="1:14">
      <c r="A37" s="60"/>
      <c r="B37" s="60"/>
      <c r="C37" s="60"/>
      <c r="D37" s="60"/>
      <c r="E37" s="60"/>
      <c r="F37" s="60"/>
      <c r="G37" s="60"/>
      <c r="H37" s="60"/>
      <c r="I37" s="60"/>
      <c r="J37" s="60"/>
      <c r="K37" s="60"/>
      <c r="L37" s="60"/>
      <c r="M37" s="60"/>
      <c r="N37" s="60"/>
    </row>
    <row r="38" spans="1:14">
      <c r="A38" s="60"/>
      <c r="B38" s="60"/>
      <c r="C38" s="60"/>
      <c r="D38" s="60"/>
      <c r="E38" s="60"/>
      <c r="F38" s="60"/>
      <c r="G38" s="60"/>
      <c r="H38" s="60"/>
      <c r="I38" s="60"/>
      <c r="J38" s="60"/>
      <c r="K38" s="60"/>
      <c r="L38" s="60"/>
      <c r="M38" s="60"/>
      <c r="N38" s="60"/>
    </row>
    <row r="39" spans="1:14">
      <c r="A39" s="60"/>
      <c r="B39" s="60"/>
      <c r="C39" s="60"/>
      <c r="D39" s="60"/>
      <c r="E39" s="60"/>
      <c r="F39" s="60"/>
      <c r="G39" s="60"/>
      <c r="H39" s="60"/>
      <c r="I39" s="60"/>
      <c r="J39" s="60"/>
      <c r="K39" s="60"/>
      <c r="L39" s="60"/>
      <c r="M39" s="60"/>
      <c r="N39" s="60"/>
    </row>
    <row r="40" spans="1:14">
      <c r="A40" s="60"/>
      <c r="B40" s="60"/>
      <c r="C40" s="60"/>
      <c r="D40" s="60"/>
      <c r="E40" s="60"/>
      <c r="F40" s="60"/>
      <c r="G40" s="60"/>
      <c r="H40" s="60"/>
      <c r="I40" s="60"/>
      <c r="J40" s="60"/>
      <c r="K40" s="60"/>
      <c r="L40" s="60"/>
      <c r="M40" s="60"/>
      <c r="N40" s="60"/>
    </row>
    <row r="41" spans="1:14">
      <c r="A41" s="60"/>
      <c r="B41" s="60"/>
      <c r="C41" s="60"/>
      <c r="D41" s="60"/>
      <c r="E41" s="60"/>
      <c r="F41" s="60"/>
      <c r="G41" s="60"/>
      <c r="H41" s="60"/>
      <c r="I41" s="60"/>
      <c r="J41" s="60"/>
      <c r="K41" s="60"/>
      <c r="L41" s="60"/>
      <c r="M41" s="60"/>
      <c r="N41" s="60"/>
    </row>
    <row r="42" spans="1:14">
      <c r="A42" s="60"/>
      <c r="B42" s="60"/>
      <c r="C42" s="60"/>
      <c r="D42" s="60"/>
      <c r="E42" s="60"/>
      <c r="F42" s="60"/>
      <c r="G42" s="60"/>
      <c r="H42" s="60"/>
      <c r="I42" s="60"/>
      <c r="J42" s="60"/>
      <c r="K42" s="60"/>
      <c r="L42" s="60"/>
      <c r="M42" s="60"/>
      <c r="N42" s="60"/>
    </row>
    <row r="43" spans="1:14">
      <c r="A43" s="60"/>
      <c r="B43" s="60"/>
      <c r="C43" s="60"/>
      <c r="D43" s="60"/>
      <c r="E43" s="60"/>
      <c r="F43" s="60"/>
      <c r="G43" s="60"/>
      <c r="H43" s="60"/>
      <c r="I43" s="60"/>
      <c r="J43" s="60"/>
      <c r="K43" s="60"/>
      <c r="L43" s="60"/>
      <c r="M43" s="60"/>
      <c r="N43" s="60"/>
    </row>
    <row r="44" spans="1:14">
      <c r="A44" s="60"/>
      <c r="B44" s="60"/>
      <c r="C44" s="60"/>
      <c r="D44" s="60"/>
      <c r="E44" s="60"/>
      <c r="F44" s="60"/>
      <c r="G44" s="60"/>
      <c r="H44" s="60"/>
      <c r="I44" s="60"/>
      <c r="J44" s="60"/>
      <c r="K44" s="60"/>
      <c r="L44" s="60"/>
      <c r="M44" s="60"/>
      <c r="N44" s="60"/>
    </row>
    <row r="45" spans="1:14">
      <c r="A45" s="60"/>
      <c r="B45" s="60"/>
      <c r="C45" s="60"/>
      <c r="D45" s="60"/>
      <c r="E45" s="60"/>
      <c r="F45" s="60"/>
      <c r="G45" s="60"/>
      <c r="H45" s="60"/>
      <c r="I45" s="60"/>
      <c r="J45" s="60"/>
      <c r="K45" s="60"/>
      <c r="L45" s="60"/>
      <c r="M45" s="60"/>
      <c r="N45" s="60"/>
    </row>
    <row r="46" spans="1:14">
      <c r="A46" s="60"/>
      <c r="B46" s="60"/>
      <c r="C46" s="60"/>
      <c r="D46" s="60"/>
      <c r="E46" s="60"/>
      <c r="F46" s="60"/>
      <c r="G46" s="60"/>
      <c r="H46" s="60"/>
      <c r="I46" s="60"/>
      <c r="J46" s="60"/>
      <c r="K46" s="60"/>
      <c r="L46" s="60"/>
      <c r="M46" s="60"/>
      <c r="N46" s="60"/>
    </row>
    <row r="47" spans="1:14">
      <c r="A47" s="60"/>
      <c r="B47" s="60"/>
      <c r="C47" s="60"/>
      <c r="D47" s="60"/>
      <c r="E47" s="60"/>
      <c r="F47" s="60"/>
      <c r="G47" s="60"/>
      <c r="H47" s="60"/>
      <c r="I47" s="60"/>
      <c r="J47" s="60"/>
      <c r="K47" s="60"/>
      <c r="L47" s="60"/>
      <c r="M47" s="60"/>
      <c r="N47" s="60"/>
    </row>
    <row r="48" spans="1:14">
      <c r="A48" s="60"/>
      <c r="B48" s="60"/>
      <c r="C48" s="60"/>
      <c r="D48" s="60"/>
      <c r="E48" s="60"/>
      <c r="F48" s="60"/>
      <c r="G48" s="60"/>
      <c r="H48" s="60"/>
      <c r="I48" s="60"/>
      <c r="J48" s="60"/>
      <c r="K48" s="60"/>
      <c r="L48" s="60"/>
      <c r="M48" s="60"/>
      <c r="N48" s="60"/>
    </row>
    <row r="49" spans="1:14">
      <c r="A49" s="60"/>
      <c r="B49" s="60"/>
      <c r="C49" s="60"/>
      <c r="D49" s="60"/>
      <c r="E49" s="60"/>
      <c r="F49" s="60"/>
      <c r="G49" s="60"/>
      <c r="H49" s="60"/>
      <c r="I49" s="60"/>
      <c r="J49" s="60"/>
      <c r="K49" s="60"/>
      <c r="L49" s="60"/>
      <c r="M49" s="60"/>
      <c r="N49" s="60"/>
    </row>
    <row r="50" spans="1:14">
      <c r="A50" s="60"/>
      <c r="B50" s="60"/>
      <c r="C50" s="60"/>
      <c r="D50" s="60"/>
      <c r="E50" s="60"/>
      <c r="F50" s="60"/>
      <c r="G50" s="60"/>
      <c r="H50" s="60"/>
      <c r="I50" s="60"/>
      <c r="J50" s="60"/>
      <c r="K50" s="60"/>
      <c r="L50" s="60"/>
      <c r="M50" s="60"/>
      <c r="N50" s="60"/>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J4" sqref="J4"/>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100" t="s">
        <v>0</v>
      </c>
      <c r="D1" s="100"/>
      <c r="E1" s="100"/>
      <c r="F1" s="100"/>
      <c r="G1" s="100"/>
      <c r="H1" s="100"/>
      <c r="I1" s="100"/>
      <c r="J1" s="100"/>
      <c r="K1" s="100"/>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81" t="s">
        <v>4</v>
      </c>
      <c r="D4" s="81"/>
      <c r="E4" s="16" t="s">
        <v>5</v>
      </c>
      <c r="F4" s="16">
        <v>3</v>
      </c>
      <c r="G4" s="15" t="s">
        <v>6</v>
      </c>
      <c r="H4" s="16">
        <v>5</v>
      </c>
      <c r="I4" s="15" t="s">
        <v>7</v>
      </c>
      <c r="J4" s="16">
        <v>25</v>
      </c>
      <c r="K4" s="15" t="s">
        <v>8</v>
      </c>
      <c r="L4" s="2"/>
      <c r="M4" s="15"/>
      <c r="N4" s="2"/>
      <c r="O4" s="15"/>
      <c r="P4" s="2"/>
      <c r="Q4" s="2"/>
    </row>
    <row r="5" spans="1:17" ht="30" customHeight="1">
      <c r="A5" s="2"/>
      <c r="B5" s="2"/>
      <c r="C5" s="81" t="s">
        <v>9</v>
      </c>
      <c r="D5" s="81"/>
      <c r="E5" s="101" t="str" cm="1">
        <f t="array" aca="1" ref="E5" ca="1">RIGHT(CELL("filename",E5),LEN(CELL("filename",E5))-FIND("]",CELL("filename",E5)))</f>
        <v>Detail</v>
      </c>
      <c r="F5" s="101"/>
      <c r="G5" s="101"/>
      <c r="H5" s="101"/>
      <c r="I5" s="101"/>
      <c r="J5" s="101"/>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102" t="s">
        <v>11</v>
      </c>
      <c r="D7" s="94" t="s">
        <v>12</v>
      </c>
      <c r="E7" s="94"/>
      <c r="F7" s="94"/>
      <c r="G7" s="94"/>
      <c r="H7" s="94"/>
      <c r="I7" s="94"/>
      <c r="J7" s="94"/>
      <c r="K7" s="104"/>
      <c r="L7" s="2"/>
      <c r="M7" s="2"/>
      <c r="N7" s="2"/>
      <c r="O7" s="2"/>
      <c r="P7" s="2"/>
      <c r="Q7" s="2"/>
    </row>
    <row r="8" spans="1:17" ht="24.75" customHeight="1">
      <c r="A8" s="2"/>
      <c r="B8" s="2"/>
      <c r="C8" s="91"/>
      <c r="D8" s="110" t="s">
        <v>13</v>
      </c>
      <c r="E8" s="111"/>
      <c r="F8" s="57"/>
      <c r="G8" s="14" t="s">
        <v>14</v>
      </c>
      <c r="H8" s="69">
        <f>800*F8</f>
        <v>0</v>
      </c>
      <c r="I8" s="70"/>
      <c r="J8" s="71"/>
      <c r="K8" s="13" t="s">
        <v>15</v>
      </c>
      <c r="L8" s="2"/>
      <c r="M8" s="2"/>
      <c r="N8" s="2"/>
      <c r="O8" s="2"/>
      <c r="P8" s="2"/>
      <c r="Q8" s="2"/>
    </row>
    <row r="9" spans="1:17" ht="24.75" customHeight="1">
      <c r="A9" s="2"/>
      <c r="B9" s="2"/>
      <c r="C9" s="91"/>
      <c r="D9" s="105" t="s">
        <v>16</v>
      </c>
      <c r="E9" s="105"/>
      <c r="F9" s="106"/>
      <c r="G9" s="107">
        <f>IF(F8&gt;=18,4000,IF(F8&gt;=12,2500,0))</f>
        <v>0</v>
      </c>
      <c r="H9" s="108"/>
      <c r="I9" s="108"/>
      <c r="J9" s="108"/>
      <c r="K9" s="13" t="s">
        <v>15</v>
      </c>
      <c r="L9" s="2"/>
      <c r="M9" s="2"/>
      <c r="N9" s="2"/>
      <c r="O9" s="2"/>
      <c r="P9" s="2"/>
      <c r="Q9" s="2"/>
    </row>
    <row r="10" spans="1:17" ht="24.75" customHeight="1">
      <c r="A10" s="2"/>
      <c r="B10" s="2"/>
      <c r="C10" s="91"/>
      <c r="D10" s="105" t="s">
        <v>17</v>
      </c>
      <c r="E10" s="105"/>
      <c r="F10" s="109"/>
      <c r="G10" s="83">
        <v>0</v>
      </c>
      <c r="H10" s="83"/>
      <c r="I10" s="83"/>
      <c r="J10" s="83"/>
      <c r="K10" s="13" t="s">
        <v>15</v>
      </c>
      <c r="L10" s="2"/>
      <c r="M10" s="2"/>
      <c r="N10" s="2"/>
      <c r="O10" s="2"/>
      <c r="P10" s="2"/>
      <c r="Q10" s="2"/>
    </row>
    <row r="11" spans="1:17" ht="24.75" customHeight="1">
      <c r="A11" s="2"/>
      <c r="B11" s="2"/>
      <c r="C11" s="91"/>
      <c r="D11" s="72"/>
      <c r="E11" s="72"/>
      <c r="F11" s="72"/>
      <c r="G11" s="83"/>
      <c r="H11" s="83"/>
      <c r="I11" s="83"/>
      <c r="J11" s="83"/>
      <c r="K11" s="12"/>
      <c r="L11" s="2"/>
      <c r="M11" s="2"/>
      <c r="N11" s="2"/>
      <c r="O11" s="2"/>
      <c r="P11" s="2"/>
      <c r="Q11" s="2"/>
    </row>
    <row r="12" spans="1:17" ht="24.75" customHeight="1">
      <c r="A12" s="2"/>
      <c r="B12" s="2"/>
      <c r="C12" s="91"/>
      <c r="D12" s="72"/>
      <c r="E12" s="72"/>
      <c r="F12" s="72"/>
      <c r="G12" s="83"/>
      <c r="H12" s="83"/>
      <c r="I12" s="83"/>
      <c r="J12" s="83"/>
      <c r="K12" s="12"/>
      <c r="L12" s="2"/>
      <c r="M12" s="2"/>
      <c r="N12" s="2"/>
      <c r="O12" s="2"/>
      <c r="P12" s="2"/>
      <c r="Q12" s="2"/>
    </row>
    <row r="13" spans="1:17" ht="24.75" customHeight="1">
      <c r="A13" s="2"/>
      <c r="B13" s="2"/>
      <c r="C13" s="91"/>
      <c r="D13" s="72"/>
      <c r="E13" s="72"/>
      <c r="F13" s="72"/>
      <c r="G13" s="83"/>
      <c r="H13" s="83"/>
      <c r="I13" s="83"/>
      <c r="J13" s="83"/>
      <c r="K13" s="12"/>
      <c r="L13" s="2"/>
      <c r="M13" s="2"/>
      <c r="N13" s="2"/>
      <c r="O13" s="2"/>
      <c r="P13" s="2"/>
      <c r="Q13" s="2"/>
    </row>
    <row r="14" spans="1:17" ht="24.75" customHeight="1">
      <c r="A14" s="2"/>
      <c r="B14" s="2"/>
      <c r="C14" s="91"/>
      <c r="D14" s="72"/>
      <c r="E14" s="72"/>
      <c r="F14" s="82"/>
      <c r="G14" s="83"/>
      <c r="H14" s="83"/>
      <c r="I14" s="83"/>
      <c r="J14" s="83"/>
      <c r="K14" s="12"/>
      <c r="L14" s="2"/>
      <c r="M14" s="2"/>
      <c r="N14" s="2"/>
      <c r="O14" s="2"/>
      <c r="P14" s="2"/>
      <c r="Q14" s="2"/>
    </row>
    <row r="15" spans="1:17" ht="24.75" customHeight="1" thickBot="1">
      <c r="A15" s="2"/>
      <c r="B15" s="2"/>
      <c r="C15" s="91"/>
      <c r="D15" s="84"/>
      <c r="E15" s="84"/>
      <c r="F15" s="85"/>
      <c r="G15" s="86"/>
      <c r="H15" s="87"/>
      <c r="I15" s="87"/>
      <c r="J15" s="88"/>
      <c r="K15" s="7"/>
      <c r="L15" s="2"/>
      <c r="M15" s="2"/>
      <c r="N15" s="2"/>
      <c r="O15" s="2"/>
      <c r="P15" s="2"/>
      <c r="Q15" s="2"/>
    </row>
    <row r="16" spans="1:17" ht="24.75" customHeight="1" thickTop="1" thickBot="1">
      <c r="A16" s="2"/>
      <c r="B16" s="2"/>
      <c r="C16" s="103"/>
      <c r="D16" s="73" t="s">
        <v>18</v>
      </c>
      <c r="E16" s="73"/>
      <c r="F16" s="74"/>
      <c r="G16" s="75">
        <f>SUM(G8:J15)</f>
        <v>0</v>
      </c>
      <c r="H16" s="76"/>
      <c r="I16" s="76"/>
      <c r="J16" s="77"/>
      <c r="K16" s="6" t="s">
        <v>15</v>
      </c>
      <c r="L16" s="2"/>
      <c r="M16" s="2"/>
      <c r="N16" s="2"/>
      <c r="O16" s="2"/>
      <c r="P16" s="2"/>
      <c r="Q16" s="2"/>
    </row>
    <row r="17" spans="1:17" ht="24.75" customHeight="1">
      <c r="A17" s="2"/>
      <c r="B17" s="2"/>
      <c r="C17" s="90" t="s">
        <v>19</v>
      </c>
      <c r="D17" s="11" t="s">
        <v>20</v>
      </c>
      <c r="E17" s="58"/>
      <c r="F17" s="10" t="s">
        <v>21</v>
      </c>
      <c r="G17" s="78">
        <f>E17*100</f>
        <v>0</v>
      </c>
      <c r="H17" s="79"/>
      <c r="I17" s="79"/>
      <c r="J17" s="80"/>
      <c r="K17" s="9" t="s">
        <v>15</v>
      </c>
      <c r="L17" s="2"/>
      <c r="M17" s="2"/>
      <c r="N17" s="2"/>
      <c r="O17" s="2"/>
      <c r="P17" s="2"/>
      <c r="Q17" s="2"/>
    </row>
    <row r="18" spans="1:17" ht="24.75" customHeight="1">
      <c r="A18" s="2"/>
      <c r="B18" s="2"/>
      <c r="C18" s="91"/>
      <c r="D18" s="72"/>
      <c r="E18" s="72"/>
      <c r="F18" s="82"/>
      <c r="G18" s="78"/>
      <c r="H18" s="79"/>
      <c r="I18" s="79"/>
      <c r="J18" s="80"/>
      <c r="K18" s="8"/>
      <c r="L18" s="2"/>
      <c r="M18" s="2"/>
      <c r="N18" s="2"/>
      <c r="O18" s="2"/>
      <c r="P18" s="2"/>
      <c r="Q18" s="2"/>
    </row>
    <row r="19" spans="1:17" ht="24.75" customHeight="1">
      <c r="A19" s="2"/>
      <c r="B19" s="2"/>
      <c r="C19" s="91"/>
      <c r="D19" s="72"/>
      <c r="E19" s="72"/>
      <c r="F19" s="82"/>
      <c r="G19" s="78"/>
      <c r="H19" s="79"/>
      <c r="I19" s="79"/>
      <c r="J19" s="80"/>
      <c r="K19" s="8"/>
      <c r="L19" s="2"/>
      <c r="M19" s="2"/>
      <c r="N19" s="2"/>
      <c r="O19" s="2"/>
      <c r="P19" s="2"/>
      <c r="Q19" s="2"/>
    </row>
    <row r="20" spans="1:17" ht="24.75" customHeight="1" thickBot="1">
      <c r="A20" s="2"/>
      <c r="B20" s="2"/>
      <c r="C20" s="91"/>
      <c r="D20" s="84"/>
      <c r="E20" s="84"/>
      <c r="F20" s="89"/>
      <c r="G20" s="66"/>
      <c r="H20" s="67"/>
      <c r="I20" s="67"/>
      <c r="J20" s="68"/>
      <c r="K20" s="7"/>
      <c r="L20" s="2"/>
      <c r="M20" s="2"/>
      <c r="N20" s="2"/>
      <c r="O20" s="2"/>
      <c r="P20" s="2"/>
      <c r="Q20" s="2"/>
    </row>
    <row r="21" spans="1:17" ht="24.75" customHeight="1" thickTop="1" thickBot="1">
      <c r="A21" s="2"/>
      <c r="B21" s="2"/>
      <c r="C21" s="92"/>
      <c r="D21" s="73" t="s">
        <v>22</v>
      </c>
      <c r="E21" s="73"/>
      <c r="F21" s="74"/>
      <c r="G21" s="98">
        <f>SUM(G17:J20)</f>
        <v>0</v>
      </c>
      <c r="H21" s="99"/>
      <c r="I21" s="99"/>
      <c r="J21" s="99"/>
      <c r="K21" s="6" t="s">
        <v>23</v>
      </c>
      <c r="L21" s="2"/>
      <c r="M21" s="2"/>
      <c r="N21" s="2"/>
      <c r="O21" s="2"/>
      <c r="P21" s="2"/>
      <c r="Q21" s="2"/>
    </row>
    <row r="22" spans="1:17" ht="24.75" customHeight="1" thickBot="1">
      <c r="A22" s="2"/>
      <c r="B22" s="2"/>
      <c r="C22" s="93" t="s">
        <v>24</v>
      </c>
      <c r="D22" s="94"/>
      <c r="E22" s="94"/>
      <c r="F22" s="94"/>
      <c r="G22" s="95">
        <f>G16-G21</f>
        <v>0</v>
      </c>
      <c r="H22" s="96"/>
      <c r="I22" s="96"/>
      <c r="J22" s="97"/>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81" t="s">
        <v>25</v>
      </c>
      <c r="D25" s="81"/>
      <c r="E25" s="81"/>
      <c r="F25" s="81"/>
      <c r="G25" s="81"/>
      <c r="H25" s="81"/>
      <c r="I25" s="4"/>
      <c r="J25" s="4"/>
      <c r="K25" s="4"/>
      <c r="L25" s="4"/>
      <c r="M25" s="4"/>
      <c r="N25" s="4"/>
      <c r="O25" s="4"/>
      <c r="P25" s="4"/>
      <c r="Q25" s="2"/>
    </row>
    <row r="26" spans="1:17" ht="30" customHeight="1">
      <c r="A26" s="2"/>
      <c r="B26" s="2"/>
      <c r="C26" s="81" t="s">
        <v>26</v>
      </c>
      <c r="D26" s="81"/>
      <c r="E26" s="81"/>
      <c r="F26" s="81"/>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G20:J20"/>
    <mergeCell ref="H8:J8"/>
    <mergeCell ref="D11:F11"/>
    <mergeCell ref="D16:F16"/>
    <mergeCell ref="G16:J16"/>
    <mergeCell ref="G18:J1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6"/>
  <sheetViews>
    <sheetView topLeftCell="A7" workbookViewId="0">
      <selection activeCell="AX20" sqref="AX20"/>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12" t="s">
        <v>42</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16" t="s">
        <v>41</v>
      </c>
      <c r="T3" s="116"/>
      <c r="U3" s="116"/>
      <c r="V3" s="116"/>
      <c r="W3" s="116" t="s">
        <v>82</v>
      </c>
      <c r="X3" s="116"/>
      <c r="Y3" s="116"/>
      <c r="Z3" s="186">
        <v>3</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13" t="s">
        <v>40</v>
      </c>
      <c r="B8" s="113"/>
      <c r="C8" s="113"/>
      <c r="D8" s="113"/>
      <c r="E8" s="113"/>
      <c r="F8" s="113"/>
      <c r="G8" s="113"/>
      <c r="H8" s="113"/>
      <c r="I8" s="113"/>
      <c r="J8" s="113"/>
      <c r="K8" s="113"/>
      <c r="L8" s="113"/>
      <c r="M8" s="114" t="s">
        <v>39</v>
      </c>
      <c r="N8" s="114"/>
      <c r="U8" s="115" t="str" cm="1">
        <f t="array" aca="1" ref="U8" ca="1">RIGHT(CELL("filename",U8),LEN(CELL("filename",U8))-FIND("]",CELL("filename",U8)))</f>
        <v>Receipt</v>
      </c>
      <c r="V8" s="115"/>
      <c r="W8" s="115"/>
      <c r="X8" s="115"/>
      <c r="Y8" s="115"/>
      <c r="Z8" s="115"/>
      <c r="AA8" s="115"/>
      <c r="AB8" s="115"/>
      <c r="AC8" s="115"/>
      <c r="AD8" s="115"/>
      <c r="AE8" s="115"/>
      <c r="AF8" s="115"/>
      <c r="AG8" s="115"/>
    </row>
    <row r="9" spans="1:41" ht="18" customHeight="1">
      <c r="A9" s="113"/>
      <c r="B9" s="113"/>
      <c r="C9" s="113"/>
      <c r="D9" s="113"/>
      <c r="E9" s="113"/>
      <c r="F9" s="113"/>
      <c r="G9" s="113"/>
      <c r="H9" s="113"/>
      <c r="I9" s="113"/>
      <c r="J9" s="113"/>
      <c r="K9" s="113"/>
      <c r="L9" s="113"/>
      <c r="M9" s="114"/>
      <c r="N9" s="114"/>
      <c r="U9" s="115"/>
      <c r="V9" s="115"/>
      <c r="W9" s="115"/>
      <c r="X9" s="115"/>
      <c r="Y9" s="115"/>
      <c r="Z9" s="115"/>
      <c r="AA9" s="115"/>
      <c r="AB9" s="115"/>
      <c r="AC9" s="115"/>
      <c r="AD9" s="115"/>
      <c r="AE9" s="115"/>
      <c r="AF9" s="115"/>
      <c r="AG9" s="115"/>
    </row>
    <row r="13" spans="1:41" ht="18" customHeight="1">
      <c r="B13" s="116" t="s">
        <v>38</v>
      </c>
      <c r="C13" s="116"/>
      <c r="D13" s="116"/>
      <c r="E13" s="116"/>
      <c r="F13" s="116"/>
      <c r="G13" s="116"/>
      <c r="H13" s="116"/>
      <c r="I13" s="116"/>
      <c r="J13" s="116"/>
      <c r="K13" s="116"/>
      <c r="L13" s="116"/>
      <c r="Z13" s="118" t="s">
        <v>37</v>
      </c>
      <c r="AA13" s="118"/>
      <c r="AB13" s="118"/>
      <c r="AC13" s="118"/>
      <c r="AD13" s="118"/>
      <c r="AL13" s="25"/>
      <c r="AM13" s="25"/>
      <c r="AN13" s="25"/>
      <c r="AO13" s="25"/>
    </row>
    <row r="14" spans="1:41" ht="18" customHeight="1">
      <c r="Z14" s="119"/>
      <c r="AA14" s="119"/>
      <c r="AB14" s="119"/>
      <c r="AC14" s="119"/>
      <c r="AD14" s="119"/>
      <c r="AL14" s="24"/>
      <c r="AM14" s="24"/>
      <c r="AN14" s="24"/>
      <c r="AO14" s="24"/>
    </row>
    <row r="15" spans="1:41" ht="18" customHeight="1">
      <c r="Z15" s="119"/>
      <c r="AA15" s="119"/>
      <c r="AB15" s="119"/>
      <c r="AC15" s="119"/>
      <c r="AD15" s="119"/>
      <c r="AL15" s="24"/>
      <c r="AM15" s="24"/>
      <c r="AN15" s="24"/>
      <c r="AO15" s="24"/>
    </row>
    <row r="16" spans="1:41" ht="18" customHeight="1">
      <c r="Z16" s="119"/>
      <c r="AA16" s="119"/>
      <c r="AB16" s="119"/>
      <c r="AC16" s="119"/>
      <c r="AD16" s="119"/>
      <c r="AL16" s="24"/>
      <c r="AM16" s="24"/>
      <c r="AN16" s="24"/>
      <c r="AO16" s="24"/>
    </row>
    <row r="17" spans="1:33" ht="18" customHeight="1">
      <c r="Z17" s="119"/>
      <c r="AA17" s="119"/>
      <c r="AB17" s="119"/>
      <c r="AC17" s="119"/>
      <c r="AD17" s="119"/>
    </row>
    <row r="19" spans="1:33" ht="24.75" customHeight="1">
      <c r="A19" s="120" t="s">
        <v>36</v>
      </c>
      <c r="B19" s="120"/>
      <c r="C19" s="120"/>
      <c r="D19" s="120"/>
      <c r="E19" s="120"/>
      <c r="F19" s="120"/>
      <c r="G19" s="120"/>
      <c r="H19" s="120"/>
      <c r="I19" s="120"/>
      <c r="J19" s="120"/>
      <c r="K19" s="120" t="s">
        <v>35</v>
      </c>
      <c r="L19" s="120"/>
      <c r="M19" s="120"/>
      <c r="N19" s="120"/>
      <c r="O19" s="120" t="s">
        <v>34</v>
      </c>
      <c r="P19" s="120"/>
      <c r="Q19" s="120"/>
      <c r="R19" s="120"/>
      <c r="S19" s="120"/>
      <c r="T19" s="120" t="s">
        <v>33</v>
      </c>
      <c r="U19" s="120"/>
      <c r="V19" s="120"/>
      <c r="W19" s="120"/>
      <c r="X19" s="120"/>
      <c r="Y19" s="120"/>
      <c r="Z19" s="120" t="s">
        <v>32</v>
      </c>
      <c r="AA19" s="120"/>
      <c r="AB19" s="120"/>
      <c r="AC19" s="120"/>
      <c r="AD19" s="120"/>
      <c r="AE19" s="120"/>
      <c r="AF19" s="120"/>
      <c r="AG19" s="120"/>
    </row>
    <row r="20" spans="1:33" ht="24.75" customHeight="1">
      <c r="A20" s="208" t="s">
        <v>112</v>
      </c>
      <c r="B20" s="209"/>
      <c r="C20" s="209"/>
      <c r="D20" s="209"/>
      <c r="E20" s="209"/>
      <c r="F20" s="209"/>
      <c r="G20" s="209"/>
      <c r="H20" s="209"/>
      <c r="I20" s="209"/>
      <c r="J20" s="210"/>
      <c r="K20" s="211"/>
      <c r="L20" s="211"/>
      <c r="M20" s="211"/>
      <c r="N20" s="211"/>
      <c r="O20" s="212"/>
      <c r="P20" s="212"/>
      <c r="Q20" s="212"/>
      <c r="R20" s="212"/>
      <c r="S20" s="212"/>
      <c r="T20" s="213"/>
      <c r="U20" s="213"/>
      <c r="V20" s="213"/>
      <c r="W20" s="213"/>
      <c r="X20" s="213"/>
      <c r="Y20" s="213"/>
      <c r="Z20" s="214"/>
      <c r="AA20" s="215"/>
      <c r="AB20" s="215"/>
      <c r="AC20" s="215"/>
      <c r="AD20" s="215"/>
      <c r="AE20" s="215"/>
      <c r="AF20" s="215"/>
      <c r="AG20" s="216"/>
    </row>
    <row r="21" spans="1:33" ht="24.75" customHeight="1">
      <c r="A21" s="124" t="s">
        <v>31</v>
      </c>
      <c r="B21" s="125"/>
      <c r="C21" s="125"/>
      <c r="D21" s="125"/>
      <c r="E21" s="125"/>
      <c r="F21" s="125"/>
      <c r="G21" s="125"/>
      <c r="H21" s="125"/>
      <c r="I21" s="125"/>
      <c r="J21" s="126"/>
      <c r="K21" s="121"/>
      <c r="L21" s="121"/>
      <c r="M21" s="121"/>
      <c r="N21" s="121"/>
      <c r="O21" s="122">
        <v>800</v>
      </c>
      <c r="P21" s="122"/>
      <c r="Q21" s="122"/>
      <c r="R21" s="122"/>
      <c r="S21" s="122"/>
      <c r="T21" s="123">
        <f>O21*K21</f>
        <v>0</v>
      </c>
      <c r="U21" s="123"/>
      <c r="V21" s="123"/>
      <c r="W21" s="123"/>
      <c r="X21" s="123"/>
      <c r="Y21" s="123"/>
      <c r="Z21" s="134"/>
      <c r="AA21" s="135"/>
      <c r="AB21" s="135"/>
      <c r="AC21" s="135"/>
      <c r="AD21" s="135"/>
      <c r="AE21" s="135"/>
      <c r="AF21" s="135"/>
      <c r="AG21" s="136"/>
    </row>
    <row r="22" spans="1:33" ht="24.75" customHeight="1">
      <c r="A22" s="149" t="s">
        <v>30</v>
      </c>
      <c r="B22" s="150"/>
      <c r="C22" s="150"/>
      <c r="D22" s="150"/>
      <c r="E22" s="150"/>
      <c r="F22" s="150"/>
      <c r="G22" s="150"/>
      <c r="H22" s="150"/>
      <c r="I22" s="150"/>
      <c r="J22" s="151"/>
      <c r="K22" s="193"/>
      <c r="L22" s="194"/>
      <c r="M22" s="194"/>
      <c r="N22" s="195"/>
      <c r="O22" s="190"/>
      <c r="P22" s="191"/>
      <c r="Q22" s="191"/>
      <c r="R22" s="191"/>
      <c r="S22" s="192"/>
      <c r="T22" s="187">
        <f>IF(K21&gt;=18,4000,IF(K21&gt;=12,2500,0))</f>
        <v>0</v>
      </c>
      <c r="U22" s="188"/>
      <c r="V22" s="188"/>
      <c r="W22" s="188"/>
      <c r="X22" s="188"/>
      <c r="Y22" s="189"/>
      <c r="Z22" s="23"/>
      <c r="AA22" s="117"/>
      <c r="AB22" s="117"/>
      <c r="AC22" s="117"/>
      <c r="AD22" s="117"/>
      <c r="AE22" s="117"/>
      <c r="AF22" s="117"/>
      <c r="AG22" s="22"/>
    </row>
    <row r="23" spans="1:33" ht="24.75" customHeight="1">
      <c r="A23" s="124" t="s">
        <v>29</v>
      </c>
      <c r="B23" s="125"/>
      <c r="C23" s="125"/>
      <c r="D23" s="125"/>
      <c r="E23" s="125"/>
      <c r="F23" s="125"/>
      <c r="G23" s="125"/>
      <c r="H23" s="125"/>
      <c r="I23" s="125"/>
      <c r="J23" s="126"/>
      <c r="K23" s="205"/>
      <c r="L23" s="206"/>
      <c r="M23" s="206"/>
      <c r="N23" s="207"/>
      <c r="O23" s="202"/>
      <c r="P23" s="203"/>
      <c r="Q23" s="203"/>
      <c r="R23" s="203"/>
      <c r="S23" s="204"/>
      <c r="T23" s="128">
        <v>0</v>
      </c>
      <c r="U23" s="129"/>
      <c r="V23" s="129"/>
      <c r="W23" s="129"/>
      <c r="X23" s="129"/>
      <c r="Y23" s="130"/>
      <c r="Z23" s="146"/>
      <c r="AA23" s="147"/>
      <c r="AB23" s="147"/>
      <c r="AC23" s="147"/>
      <c r="AD23" s="147"/>
      <c r="AE23" s="147"/>
      <c r="AF23" s="147"/>
      <c r="AG23" s="148"/>
    </row>
    <row r="24" spans="1:33" ht="24.75" customHeight="1">
      <c r="A24" s="143"/>
      <c r="B24" s="144"/>
      <c r="C24" s="144"/>
      <c r="D24" s="144"/>
      <c r="E24" s="144"/>
      <c r="F24" s="144"/>
      <c r="G24" s="144"/>
      <c r="H24" s="144"/>
      <c r="I24" s="144"/>
      <c r="J24" s="145"/>
      <c r="K24" s="196"/>
      <c r="L24" s="197"/>
      <c r="M24" s="197"/>
      <c r="N24" s="198"/>
      <c r="O24" s="199"/>
      <c r="P24" s="200"/>
      <c r="Q24" s="200"/>
      <c r="R24" s="200"/>
      <c r="S24" s="201"/>
      <c r="T24" s="196"/>
      <c r="U24" s="197"/>
      <c r="V24" s="197"/>
      <c r="W24" s="197"/>
      <c r="X24" s="197"/>
      <c r="Y24" s="198"/>
      <c r="Z24" s="141"/>
      <c r="AA24" s="117"/>
      <c r="AB24" s="117"/>
      <c r="AC24" s="117"/>
      <c r="AD24" s="117"/>
      <c r="AE24" s="117"/>
      <c r="AF24" s="117"/>
      <c r="AG24" s="142"/>
    </row>
    <row r="25" spans="1:33" ht="24.75" customHeight="1">
      <c r="A25" s="134"/>
      <c r="B25" s="135"/>
      <c r="C25" s="135"/>
      <c r="D25" s="135"/>
      <c r="E25" s="135"/>
      <c r="F25" s="135"/>
      <c r="G25" s="135"/>
      <c r="H25" s="135"/>
      <c r="I25" s="135"/>
      <c r="J25" s="136"/>
      <c r="K25" s="133"/>
      <c r="L25" s="133"/>
      <c r="M25" s="133"/>
      <c r="N25" s="133"/>
      <c r="O25" s="127"/>
      <c r="P25" s="127"/>
      <c r="Q25" s="127"/>
      <c r="R25" s="127"/>
      <c r="S25" s="127"/>
      <c r="T25" s="133"/>
      <c r="U25" s="133"/>
      <c r="V25" s="133"/>
      <c r="W25" s="133"/>
      <c r="X25" s="133"/>
      <c r="Y25" s="133"/>
      <c r="Z25" s="146"/>
      <c r="AA25" s="147"/>
      <c r="AB25" s="147"/>
      <c r="AC25" s="147"/>
      <c r="AD25" s="147"/>
      <c r="AE25" s="147"/>
      <c r="AF25" s="147"/>
      <c r="AG25" s="148"/>
    </row>
    <row r="26" spans="1:33" ht="24.75" customHeight="1">
      <c r="A26" s="143"/>
      <c r="B26" s="144"/>
      <c r="C26" s="144"/>
      <c r="D26" s="144"/>
      <c r="E26" s="144"/>
      <c r="F26" s="144"/>
      <c r="G26" s="144"/>
      <c r="H26" s="144"/>
      <c r="I26" s="144"/>
      <c r="J26" s="145"/>
      <c r="K26" s="131"/>
      <c r="L26" s="131"/>
      <c r="M26" s="131"/>
      <c r="N26" s="131"/>
      <c r="O26" s="132"/>
      <c r="P26" s="132"/>
      <c r="Q26" s="132"/>
      <c r="R26" s="132"/>
      <c r="S26" s="132"/>
      <c r="T26" s="131"/>
      <c r="U26" s="131"/>
      <c r="V26" s="131"/>
      <c r="W26" s="131"/>
      <c r="X26" s="131"/>
      <c r="Y26" s="131"/>
      <c r="Z26" s="141"/>
      <c r="AA26" s="117"/>
      <c r="AB26" s="117"/>
      <c r="AC26" s="117"/>
      <c r="AD26" s="117"/>
      <c r="AE26" s="117"/>
      <c r="AF26" s="117"/>
      <c r="AG26" s="142"/>
    </row>
    <row r="27" spans="1:33" ht="24.75" customHeight="1">
      <c r="A27" s="134"/>
      <c r="B27" s="135"/>
      <c r="C27" s="135"/>
      <c r="D27" s="135"/>
      <c r="E27" s="135"/>
      <c r="F27" s="135"/>
      <c r="G27" s="135"/>
      <c r="H27" s="135"/>
      <c r="I27" s="135"/>
      <c r="J27" s="136"/>
      <c r="K27" s="133"/>
      <c r="L27" s="133"/>
      <c r="M27" s="133"/>
      <c r="N27" s="133"/>
      <c r="O27" s="127"/>
      <c r="P27" s="127"/>
      <c r="Q27" s="127"/>
      <c r="R27" s="127"/>
      <c r="S27" s="127"/>
      <c r="T27" s="133"/>
      <c r="U27" s="133"/>
      <c r="V27" s="133"/>
      <c r="W27" s="133"/>
      <c r="X27" s="133"/>
      <c r="Y27" s="133"/>
      <c r="Z27" s="146"/>
      <c r="AA27" s="147"/>
      <c r="AB27" s="147"/>
      <c r="AC27" s="147"/>
      <c r="AD27" s="147"/>
      <c r="AE27" s="147"/>
      <c r="AF27" s="147"/>
      <c r="AG27" s="148"/>
    </row>
    <row r="28" spans="1:33" ht="24.75" customHeight="1">
      <c r="A28" s="143"/>
      <c r="B28" s="144"/>
      <c r="C28" s="144"/>
      <c r="D28" s="144"/>
      <c r="E28" s="144"/>
      <c r="F28" s="144"/>
      <c r="G28" s="144"/>
      <c r="H28" s="144"/>
      <c r="I28" s="144"/>
      <c r="J28" s="145"/>
      <c r="K28" s="131"/>
      <c r="L28" s="131"/>
      <c r="M28" s="131"/>
      <c r="N28" s="131"/>
      <c r="O28" s="132"/>
      <c r="P28" s="132"/>
      <c r="Q28" s="132"/>
      <c r="R28" s="132"/>
      <c r="S28" s="132"/>
      <c r="T28" s="131"/>
      <c r="U28" s="131"/>
      <c r="V28" s="131"/>
      <c r="W28" s="131"/>
      <c r="X28" s="131"/>
      <c r="Y28" s="131"/>
      <c r="Z28" s="141"/>
      <c r="AA28" s="117"/>
      <c r="AB28" s="117"/>
      <c r="AC28" s="117"/>
      <c r="AD28" s="117"/>
      <c r="AE28" s="117"/>
      <c r="AF28" s="117"/>
      <c r="AG28" s="142"/>
    </row>
    <row r="29" spans="1:33" ht="24.75" customHeight="1">
      <c r="A29" s="134"/>
      <c r="B29" s="135"/>
      <c r="C29" s="135"/>
      <c r="D29" s="135"/>
      <c r="E29" s="135"/>
      <c r="F29" s="135"/>
      <c r="G29" s="135"/>
      <c r="H29" s="135"/>
      <c r="I29" s="135"/>
      <c r="J29" s="136"/>
      <c r="K29" s="133"/>
      <c r="L29" s="133"/>
      <c r="M29" s="133"/>
      <c r="N29" s="133"/>
      <c r="O29" s="127"/>
      <c r="P29" s="127"/>
      <c r="Q29" s="127"/>
      <c r="R29" s="127"/>
      <c r="S29" s="127"/>
      <c r="T29" s="133"/>
      <c r="U29" s="133"/>
      <c r="V29" s="133"/>
      <c r="W29" s="133"/>
      <c r="X29" s="133"/>
      <c r="Y29" s="133"/>
      <c r="Z29" s="146"/>
      <c r="AA29" s="147"/>
      <c r="AB29" s="147"/>
      <c r="AC29" s="147"/>
      <c r="AD29" s="147"/>
      <c r="AE29" s="147"/>
      <c r="AF29" s="147"/>
      <c r="AG29" s="148"/>
    </row>
    <row r="30" spans="1:33" ht="24.75" customHeight="1">
      <c r="A30" s="143"/>
      <c r="B30" s="144"/>
      <c r="C30" s="144"/>
      <c r="D30" s="144"/>
      <c r="E30" s="144"/>
      <c r="F30" s="144"/>
      <c r="G30" s="144"/>
      <c r="H30" s="144"/>
      <c r="I30" s="144"/>
      <c r="J30" s="145"/>
      <c r="K30" s="131"/>
      <c r="L30" s="131"/>
      <c r="M30" s="131"/>
      <c r="N30" s="131"/>
      <c r="O30" s="132"/>
      <c r="P30" s="132"/>
      <c r="Q30" s="132"/>
      <c r="R30" s="132"/>
      <c r="S30" s="132"/>
      <c r="T30" s="131"/>
      <c r="U30" s="131"/>
      <c r="V30" s="131"/>
      <c r="W30" s="131"/>
      <c r="X30" s="131"/>
      <c r="Y30" s="131"/>
      <c r="Z30" s="141"/>
      <c r="AA30" s="117"/>
      <c r="AB30" s="117"/>
      <c r="AC30" s="117"/>
      <c r="AD30" s="117"/>
      <c r="AE30" s="117"/>
      <c r="AF30" s="117"/>
      <c r="AG30" s="142"/>
    </row>
    <row r="31" spans="1:33" ht="24.75" customHeight="1">
      <c r="K31" s="138" t="s">
        <v>28</v>
      </c>
      <c r="L31" s="138"/>
      <c r="M31" s="138"/>
      <c r="N31" s="138"/>
      <c r="O31" s="138"/>
      <c r="P31" s="138"/>
      <c r="Q31" s="138"/>
      <c r="R31" s="138"/>
      <c r="S31" s="138"/>
      <c r="T31" s="139">
        <f>SUM(T21:Y30)</f>
        <v>0</v>
      </c>
      <c r="U31" s="139"/>
      <c r="V31" s="139"/>
      <c r="W31" s="139"/>
      <c r="X31" s="139"/>
      <c r="Y31" s="139"/>
      <c r="Z31" s="139"/>
      <c r="AA31" s="139"/>
      <c r="AB31" s="139"/>
      <c r="AC31" s="139"/>
      <c r="AD31" s="139"/>
      <c r="AE31" s="139"/>
      <c r="AF31" s="139"/>
      <c r="AG31" s="139"/>
    </row>
    <row r="32" spans="1:33" ht="24.75" customHeight="1"/>
    <row r="33" spans="1:33" ht="24.75" customHeight="1">
      <c r="A33" s="116" t="s">
        <v>27</v>
      </c>
      <c r="B33" s="116"/>
    </row>
    <row r="34" spans="1:33" ht="24.75" customHeight="1">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row>
    <row r="35" spans="1:33" ht="24.75" customHeight="1">
      <c r="A35" s="137"/>
      <c r="B35" s="137"/>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row>
    <row r="36" spans="1:33" ht="24.75" customHeight="1">
      <c r="A36" s="137"/>
      <c r="B36" s="137"/>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row>
    <row r="37" spans="1:33" ht="24.75" customHeight="1">
      <c r="A37" s="137"/>
      <c r="B37" s="137"/>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row>
    <row r="38" spans="1:33" ht="24.75" customHeight="1">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row>
    <row r="39" spans="1:33" ht="24.75" customHeight="1"/>
    <row r="40" spans="1:33" ht="24.75" customHeight="1"/>
    <row r="41" spans="1:33" ht="24.75" customHeight="1"/>
    <row r="42" spans="1:33" ht="24.75" customHeight="1"/>
    <row r="43" spans="1:33" ht="24.75" customHeight="1"/>
    <row r="44" spans="1:33" ht="24.75" customHeight="1"/>
    <row r="45" spans="1:33" ht="24.75" customHeight="1"/>
    <row r="46" spans="1:33" ht="24.75" customHeight="1"/>
  </sheetData>
  <sheetProtection formatCells="0" formatColumns="0" formatRows="0" insertColumns="0" insertRows="0" insertHyperlinks="0" deleteColumns="0" deleteRows="0" sort="0" autoFilter="0" pivotTables="0"/>
  <mergeCells count="76">
    <mergeCell ref="A20:J20"/>
    <mergeCell ref="K20:N20"/>
    <mergeCell ref="O20:S20"/>
    <mergeCell ref="T20:Y20"/>
    <mergeCell ref="Z20:AG20"/>
    <mergeCell ref="A22:J22"/>
    <mergeCell ref="A23:J23"/>
    <mergeCell ref="Z21:AG21"/>
    <mergeCell ref="A24:J24"/>
    <mergeCell ref="Z28:AG28"/>
    <mergeCell ref="A26:J26"/>
    <mergeCell ref="A27:J27"/>
    <mergeCell ref="A28:J28"/>
    <mergeCell ref="Z23:AG23"/>
    <mergeCell ref="Z24:AG24"/>
    <mergeCell ref="Z25:AG25"/>
    <mergeCell ref="Z26:AG26"/>
    <mergeCell ref="Z27:AG27"/>
    <mergeCell ref="A25:J25"/>
    <mergeCell ref="O28:S28"/>
    <mergeCell ref="T28:Y28"/>
    <mergeCell ref="K27:N27"/>
    <mergeCell ref="O27:S27"/>
    <mergeCell ref="T27:Y27"/>
    <mergeCell ref="K28:N28"/>
    <mergeCell ref="Z29:AG29"/>
    <mergeCell ref="A29:J29"/>
    <mergeCell ref="A37:AG37"/>
    <mergeCell ref="A33:B33"/>
    <mergeCell ref="K29:N29"/>
    <mergeCell ref="O29:S29"/>
    <mergeCell ref="T29:Y29"/>
    <mergeCell ref="K30:N30"/>
    <mergeCell ref="O30:S30"/>
    <mergeCell ref="T30:Y30"/>
    <mergeCell ref="A36:AG36"/>
    <mergeCell ref="K31:S31"/>
    <mergeCell ref="T31:AG31"/>
    <mergeCell ref="A34:AG34"/>
    <mergeCell ref="A35:AG35"/>
    <mergeCell ref="Z30:AG30"/>
    <mergeCell ref="A30:J30"/>
    <mergeCell ref="K25:N25"/>
    <mergeCell ref="O25:S25"/>
    <mergeCell ref="T25:Y25"/>
    <mergeCell ref="K26:N26"/>
    <mergeCell ref="O26:S26"/>
    <mergeCell ref="T26:Y26"/>
    <mergeCell ref="K23:N23"/>
    <mergeCell ref="O23:S23"/>
    <mergeCell ref="T23:Y23"/>
    <mergeCell ref="K24:N24"/>
    <mergeCell ref="O24:S24"/>
    <mergeCell ref="T24:Y24"/>
    <mergeCell ref="AA22:AF22"/>
    <mergeCell ref="Z13:AD13"/>
    <mergeCell ref="Z14:AD17"/>
    <mergeCell ref="A19:J19"/>
    <mergeCell ref="K19:N19"/>
    <mergeCell ref="O19:S19"/>
    <mergeCell ref="T19:Y19"/>
    <mergeCell ref="Z19:AG19"/>
    <mergeCell ref="B13:L13"/>
    <mergeCell ref="K21:N21"/>
    <mergeCell ref="O21:S21"/>
    <mergeCell ref="T21:Y21"/>
    <mergeCell ref="A21:J21"/>
    <mergeCell ref="K22:N22"/>
    <mergeCell ref="O22:S22"/>
    <mergeCell ref="T22:Y22"/>
    <mergeCell ref="A1:AG1"/>
    <mergeCell ref="A8:L9"/>
    <mergeCell ref="M8:N9"/>
    <mergeCell ref="U8:AG9"/>
    <mergeCell ref="S3:V3"/>
    <mergeCell ref="W3:Y3"/>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3:L65546 IW65543:JH65546 SS65543:TD65546 ACO65543:ACZ65546 AMK65543:AMV65546 AWG65543:AWR65546 BGC65543:BGN65546 BPY65543:BQJ65546 BZU65543:CAF65546 CJQ65543:CKB65546 CTM65543:CTX65546 DDI65543:DDT65546 DNE65543:DNP65546 DXA65543:DXL65546 EGW65543:EHH65546 EQS65543:ERD65546 FAO65543:FAZ65546 FKK65543:FKV65546 FUG65543:FUR65546 GEC65543:GEN65546 GNY65543:GOJ65546 GXU65543:GYF65546 HHQ65543:HIB65546 HRM65543:HRX65546 IBI65543:IBT65546 ILE65543:ILP65546 IVA65543:IVL65546 JEW65543:JFH65546 JOS65543:JPD65546 JYO65543:JYZ65546 KIK65543:KIV65546 KSG65543:KSR65546 LCC65543:LCN65546 LLY65543:LMJ65546 LVU65543:LWF65546 MFQ65543:MGB65546 MPM65543:MPX65546 MZI65543:MZT65546 NJE65543:NJP65546 NTA65543:NTL65546 OCW65543:ODH65546 OMS65543:OND65546 OWO65543:OWZ65546 PGK65543:PGV65546 PQG65543:PQR65546 QAC65543:QAN65546 QJY65543:QKJ65546 QTU65543:QUF65546 RDQ65543:REB65546 RNM65543:RNX65546 RXI65543:RXT65546 SHE65543:SHP65546 SRA65543:SRL65546 TAW65543:TBH65546 TKS65543:TLD65546 TUO65543:TUZ65546 UEK65543:UEV65546 UOG65543:UOR65546 UYC65543:UYN65546 VHY65543:VIJ65546 VRU65543:VSF65546 WBQ65543:WCB65546 WLM65543:WLX65546 WVI65543:WVT65546 A131079:L131082 IW131079:JH131082 SS131079:TD131082 ACO131079:ACZ131082 AMK131079:AMV131082 AWG131079:AWR131082 BGC131079:BGN131082 BPY131079:BQJ131082 BZU131079:CAF131082 CJQ131079:CKB131082 CTM131079:CTX131082 DDI131079:DDT131082 DNE131079:DNP131082 DXA131079:DXL131082 EGW131079:EHH131082 EQS131079:ERD131082 FAO131079:FAZ131082 FKK131079:FKV131082 FUG131079:FUR131082 GEC131079:GEN131082 GNY131079:GOJ131082 GXU131079:GYF131082 HHQ131079:HIB131082 HRM131079:HRX131082 IBI131079:IBT131082 ILE131079:ILP131082 IVA131079:IVL131082 JEW131079:JFH131082 JOS131079:JPD131082 JYO131079:JYZ131082 KIK131079:KIV131082 KSG131079:KSR131082 LCC131079:LCN131082 LLY131079:LMJ131082 LVU131079:LWF131082 MFQ131079:MGB131082 MPM131079:MPX131082 MZI131079:MZT131082 NJE131079:NJP131082 NTA131079:NTL131082 OCW131079:ODH131082 OMS131079:OND131082 OWO131079:OWZ131082 PGK131079:PGV131082 PQG131079:PQR131082 QAC131079:QAN131082 QJY131079:QKJ131082 QTU131079:QUF131082 RDQ131079:REB131082 RNM131079:RNX131082 RXI131079:RXT131082 SHE131079:SHP131082 SRA131079:SRL131082 TAW131079:TBH131082 TKS131079:TLD131082 TUO131079:TUZ131082 UEK131079:UEV131082 UOG131079:UOR131082 UYC131079:UYN131082 VHY131079:VIJ131082 VRU131079:VSF131082 WBQ131079:WCB131082 WLM131079:WLX131082 WVI131079:WVT131082 A196615:L196618 IW196615:JH196618 SS196615:TD196618 ACO196615:ACZ196618 AMK196615:AMV196618 AWG196615:AWR196618 BGC196615:BGN196618 BPY196615:BQJ196618 BZU196615:CAF196618 CJQ196615:CKB196618 CTM196615:CTX196618 DDI196615:DDT196618 DNE196615:DNP196618 DXA196615:DXL196618 EGW196615:EHH196618 EQS196615:ERD196618 FAO196615:FAZ196618 FKK196615:FKV196618 FUG196615:FUR196618 GEC196615:GEN196618 GNY196615:GOJ196618 GXU196615:GYF196618 HHQ196615:HIB196618 HRM196615:HRX196618 IBI196615:IBT196618 ILE196615:ILP196618 IVA196615:IVL196618 JEW196615:JFH196618 JOS196615:JPD196618 JYO196615:JYZ196618 KIK196615:KIV196618 KSG196615:KSR196618 LCC196615:LCN196618 LLY196615:LMJ196618 LVU196615:LWF196618 MFQ196615:MGB196618 MPM196615:MPX196618 MZI196615:MZT196618 NJE196615:NJP196618 NTA196615:NTL196618 OCW196615:ODH196618 OMS196615:OND196618 OWO196615:OWZ196618 PGK196615:PGV196618 PQG196615:PQR196618 QAC196615:QAN196618 QJY196615:QKJ196618 QTU196615:QUF196618 RDQ196615:REB196618 RNM196615:RNX196618 RXI196615:RXT196618 SHE196615:SHP196618 SRA196615:SRL196618 TAW196615:TBH196618 TKS196615:TLD196618 TUO196615:TUZ196618 UEK196615:UEV196618 UOG196615:UOR196618 UYC196615:UYN196618 VHY196615:VIJ196618 VRU196615:VSF196618 WBQ196615:WCB196618 WLM196615:WLX196618 WVI196615:WVT196618 A262151:L262154 IW262151:JH262154 SS262151:TD262154 ACO262151:ACZ262154 AMK262151:AMV262154 AWG262151:AWR262154 BGC262151:BGN262154 BPY262151:BQJ262154 BZU262151:CAF262154 CJQ262151:CKB262154 CTM262151:CTX262154 DDI262151:DDT262154 DNE262151:DNP262154 DXA262151:DXL262154 EGW262151:EHH262154 EQS262151:ERD262154 FAO262151:FAZ262154 FKK262151:FKV262154 FUG262151:FUR262154 GEC262151:GEN262154 GNY262151:GOJ262154 GXU262151:GYF262154 HHQ262151:HIB262154 HRM262151:HRX262154 IBI262151:IBT262154 ILE262151:ILP262154 IVA262151:IVL262154 JEW262151:JFH262154 JOS262151:JPD262154 JYO262151:JYZ262154 KIK262151:KIV262154 KSG262151:KSR262154 LCC262151:LCN262154 LLY262151:LMJ262154 LVU262151:LWF262154 MFQ262151:MGB262154 MPM262151:MPX262154 MZI262151:MZT262154 NJE262151:NJP262154 NTA262151:NTL262154 OCW262151:ODH262154 OMS262151:OND262154 OWO262151:OWZ262154 PGK262151:PGV262154 PQG262151:PQR262154 QAC262151:QAN262154 QJY262151:QKJ262154 QTU262151:QUF262154 RDQ262151:REB262154 RNM262151:RNX262154 RXI262151:RXT262154 SHE262151:SHP262154 SRA262151:SRL262154 TAW262151:TBH262154 TKS262151:TLD262154 TUO262151:TUZ262154 UEK262151:UEV262154 UOG262151:UOR262154 UYC262151:UYN262154 VHY262151:VIJ262154 VRU262151:VSF262154 WBQ262151:WCB262154 WLM262151:WLX262154 WVI262151:WVT262154 A327687:L327690 IW327687:JH327690 SS327687:TD327690 ACO327687:ACZ327690 AMK327687:AMV327690 AWG327687:AWR327690 BGC327687:BGN327690 BPY327687:BQJ327690 BZU327687:CAF327690 CJQ327687:CKB327690 CTM327687:CTX327690 DDI327687:DDT327690 DNE327687:DNP327690 DXA327687:DXL327690 EGW327687:EHH327690 EQS327687:ERD327690 FAO327687:FAZ327690 FKK327687:FKV327690 FUG327687:FUR327690 GEC327687:GEN327690 GNY327687:GOJ327690 GXU327687:GYF327690 HHQ327687:HIB327690 HRM327687:HRX327690 IBI327687:IBT327690 ILE327687:ILP327690 IVA327687:IVL327690 JEW327687:JFH327690 JOS327687:JPD327690 JYO327687:JYZ327690 KIK327687:KIV327690 KSG327687:KSR327690 LCC327687:LCN327690 LLY327687:LMJ327690 LVU327687:LWF327690 MFQ327687:MGB327690 MPM327687:MPX327690 MZI327687:MZT327690 NJE327687:NJP327690 NTA327687:NTL327690 OCW327687:ODH327690 OMS327687:OND327690 OWO327687:OWZ327690 PGK327687:PGV327690 PQG327687:PQR327690 QAC327687:QAN327690 QJY327687:QKJ327690 QTU327687:QUF327690 RDQ327687:REB327690 RNM327687:RNX327690 RXI327687:RXT327690 SHE327687:SHP327690 SRA327687:SRL327690 TAW327687:TBH327690 TKS327687:TLD327690 TUO327687:TUZ327690 UEK327687:UEV327690 UOG327687:UOR327690 UYC327687:UYN327690 VHY327687:VIJ327690 VRU327687:VSF327690 WBQ327687:WCB327690 WLM327687:WLX327690 WVI327687:WVT327690 A393223:L393226 IW393223:JH393226 SS393223:TD393226 ACO393223:ACZ393226 AMK393223:AMV393226 AWG393223:AWR393226 BGC393223:BGN393226 BPY393223:BQJ393226 BZU393223:CAF393226 CJQ393223:CKB393226 CTM393223:CTX393226 DDI393223:DDT393226 DNE393223:DNP393226 DXA393223:DXL393226 EGW393223:EHH393226 EQS393223:ERD393226 FAO393223:FAZ393226 FKK393223:FKV393226 FUG393223:FUR393226 GEC393223:GEN393226 GNY393223:GOJ393226 GXU393223:GYF393226 HHQ393223:HIB393226 HRM393223:HRX393226 IBI393223:IBT393226 ILE393223:ILP393226 IVA393223:IVL393226 JEW393223:JFH393226 JOS393223:JPD393226 JYO393223:JYZ393226 KIK393223:KIV393226 KSG393223:KSR393226 LCC393223:LCN393226 LLY393223:LMJ393226 LVU393223:LWF393226 MFQ393223:MGB393226 MPM393223:MPX393226 MZI393223:MZT393226 NJE393223:NJP393226 NTA393223:NTL393226 OCW393223:ODH393226 OMS393223:OND393226 OWO393223:OWZ393226 PGK393223:PGV393226 PQG393223:PQR393226 QAC393223:QAN393226 QJY393223:QKJ393226 QTU393223:QUF393226 RDQ393223:REB393226 RNM393223:RNX393226 RXI393223:RXT393226 SHE393223:SHP393226 SRA393223:SRL393226 TAW393223:TBH393226 TKS393223:TLD393226 TUO393223:TUZ393226 UEK393223:UEV393226 UOG393223:UOR393226 UYC393223:UYN393226 VHY393223:VIJ393226 VRU393223:VSF393226 WBQ393223:WCB393226 WLM393223:WLX393226 WVI393223:WVT393226 A458759:L458762 IW458759:JH458762 SS458759:TD458762 ACO458759:ACZ458762 AMK458759:AMV458762 AWG458759:AWR458762 BGC458759:BGN458762 BPY458759:BQJ458762 BZU458759:CAF458762 CJQ458759:CKB458762 CTM458759:CTX458762 DDI458759:DDT458762 DNE458759:DNP458762 DXA458759:DXL458762 EGW458759:EHH458762 EQS458759:ERD458762 FAO458759:FAZ458762 FKK458759:FKV458762 FUG458759:FUR458762 GEC458759:GEN458762 GNY458759:GOJ458762 GXU458759:GYF458762 HHQ458759:HIB458762 HRM458759:HRX458762 IBI458759:IBT458762 ILE458759:ILP458762 IVA458759:IVL458762 JEW458759:JFH458762 JOS458759:JPD458762 JYO458759:JYZ458762 KIK458759:KIV458762 KSG458759:KSR458762 LCC458759:LCN458762 LLY458759:LMJ458762 LVU458759:LWF458762 MFQ458759:MGB458762 MPM458759:MPX458762 MZI458759:MZT458762 NJE458759:NJP458762 NTA458759:NTL458762 OCW458759:ODH458762 OMS458759:OND458762 OWO458759:OWZ458762 PGK458759:PGV458762 PQG458759:PQR458762 QAC458759:QAN458762 QJY458759:QKJ458762 QTU458759:QUF458762 RDQ458759:REB458762 RNM458759:RNX458762 RXI458759:RXT458762 SHE458759:SHP458762 SRA458759:SRL458762 TAW458759:TBH458762 TKS458759:TLD458762 TUO458759:TUZ458762 UEK458759:UEV458762 UOG458759:UOR458762 UYC458759:UYN458762 VHY458759:VIJ458762 VRU458759:VSF458762 WBQ458759:WCB458762 WLM458759:WLX458762 WVI458759:WVT458762 A524295:L524298 IW524295:JH524298 SS524295:TD524298 ACO524295:ACZ524298 AMK524295:AMV524298 AWG524295:AWR524298 BGC524295:BGN524298 BPY524295:BQJ524298 BZU524295:CAF524298 CJQ524295:CKB524298 CTM524295:CTX524298 DDI524295:DDT524298 DNE524295:DNP524298 DXA524295:DXL524298 EGW524295:EHH524298 EQS524295:ERD524298 FAO524295:FAZ524298 FKK524295:FKV524298 FUG524295:FUR524298 GEC524295:GEN524298 GNY524295:GOJ524298 GXU524295:GYF524298 HHQ524295:HIB524298 HRM524295:HRX524298 IBI524295:IBT524298 ILE524295:ILP524298 IVA524295:IVL524298 JEW524295:JFH524298 JOS524295:JPD524298 JYO524295:JYZ524298 KIK524295:KIV524298 KSG524295:KSR524298 LCC524295:LCN524298 LLY524295:LMJ524298 LVU524295:LWF524298 MFQ524295:MGB524298 MPM524295:MPX524298 MZI524295:MZT524298 NJE524295:NJP524298 NTA524295:NTL524298 OCW524295:ODH524298 OMS524295:OND524298 OWO524295:OWZ524298 PGK524295:PGV524298 PQG524295:PQR524298 QAC524295:QAN524298 QJY524295:QKJ524298 QTU524295:QUF524298 RDQ524295:REB524298 RNM524295:RNX524298 RXI524295:RXT524298 SHE524295:SHP524298 SRA524295:SRL524298 TAW524295:TBH524298 TKS524295:TLD524298 TUO524295:TUZ524298 UEK524295:UEV524298 UOG524295:UOR524298 UYC524295:UYN524298 VHY524295:VIJ524298 VRU524295:VSF524298 WBQ524295:WCB524298 WLM524295:WLX524298 WVI524295:WVT524298 A589831:L589834 IW589831:JH589834 SS589831:TD589834 ACO589831:ACZ589834 AMK589831:AMV589834 AWG589831:AWR589834 BGC589831:BGN589834 BPY589831:BQJ589834 BZU589831:CAF589834 CJQ589831:CKB589834 CTM589831:CTX589834 DDI589831:DDT589834 DNE589831:DNP589834 DXA589831:DXL589834 EGW589831:EHH589834 EQS589831:ERD589834 FAO589831:FAZ589834 FKK589831:FKV589834 FUG589831:FUR589834 GEC589831:GEN589834 GNY589831:GOJ589834 GXU589831:GYF589834 HHQ589831:HIB589834 HRM589831:HRX589834 IBI589831:IBT589834 ILE589831:ILP589834 IVA589831:IVL589834 JEW589831:JFH589834 JOS589831:JPD589834 JYO589831:JYZ589834 KIK589831:KIV589834 KSG589831:KSR589834 LCC589831:LCN589834 LLY589831:LMJ589834 LVU589831:LWF589834 MFQ589831:MGB589834 MPM589831:MPX589834 MZI589831:MZT589834 NJE589831:NJP589834 NTA589831:NTL589834 OCW589831:ODH589834 OMS589831:OND589834 OWO589831:OWZ589834 PGK589831:PGV589834 PQG589831:PQR589834 QAC589831:QAN589834 QJY589831:QKJ589834 QTU589831:QUF589834 RDQ589831:REB589834 RNM589831:RNX589834 RXI589831:RXT589834 SHE589831:SHP589834 SRA589831:SRL589834 TAW589831:TBH589834 TKS589831:TLD589834 TUO589831:TUZ589834 UEK589831:UEV589834 UOG589831:UOR589834 UYC589831:UYN589834 VHY589831:VIJ589834 VRU589831:VSF589834 WBQ589831:WCB589834 WLM589831:WLX589834 WVI589831:WVT589834 A655367:L655370 IW655367:JH655370 SS655367:TD655370 ACO655367:ACZ655370 AMK655367:AMV655370 AWG655367:AWR655370 BGC655367:BGN655370 BPY655367:BQJ655370 BZU655367:CAF655370 CJQ655367:CKB655370 CTM655367:CTX655370 DDI655367:DDT655370 DNE655367:DNP655370 DXA655367:DXL655370 EGW655367:EHH655370 EQS655367:ERD655370 FAO655367:FAZ655370 FKK655367:FKV655370 FUG655367:FUR655370 GEC655367:GEN655370 GNY655367:GOJ655370 GXU655367:GYF655370 HHQ655367:HIB655370 HRM655367:HRX655370 IBI655367:IBT655370 ILE655367:ILP655370 IVA655367:IVL655370 JEW655367:JFH655370 JOS655367:JPD655370 JYO655367:JYZ655370 KIK655367:KIV655370 KSG655367:KSR655370 LCC655367:LCN655370 LLY655367:LMJ655370 LVU655367:LWF655370 MFQ655367:MGB655370 MPM655367:MPX655370 MZI655367:MZT655370 NJE655367:NJP655370 NTA655367:NTL655370 OCW655367:ODH655370 OMS655367:OND655370 OWO655367:OWZ655370 PGK655367:PGV655370 PQG655367:PQR655370 QAC655367:QAN655370 QJY655367:QKJ655370 QTU655367:QUF655370 RDQ655367:REB655370 RNM655367:RNX655370 RXI655367:RXT655370 SHE655367:SHP655370 SRA655367:SRL655370 TAW655367:TBH655370 TKS655367:TLD655370 TUO655367:TUZ655370 UEK655367:UEV655370 UOG655367:UOR655370 UYC655367:UYN655370 VHY655367:VIJ655370 VRU655367:VSF655370 WBQ655367:WCB655370 WLM655367:WLX655370 WVI655367:WVT655370 A720903:L720906 IW720903:JH720906 SS720903:TD720906 ACO720903:ACZ720906 AMK720903:AMV720906 AWG720903:AWR720906 BGC720903:BGN720906 BPY720903:BQJ720906 BZU720903:CAF720906 CJQ720903:CKB720906 CTM720903:CTX720906 DDI720903:DDT720906 DNE720903:DNP720906 DXA720903:DXL720906 EGW720903:EHH720906 EQS720903:ERD720906 FAO720903:FAZ720906 FKK720903:FKV720906 FUG720903:FUR720906 GEC720903:GEN720906 GNY720903:GOJ720906 GXU720903:GYF720906 HHQ720903:HIB720906 HRM720903:HRX720906 IBI720903:IBT720906 ILE720903:ILP720906 IVA720903:IVL720906 JEW720903:JFH720906 JOS720903:JPD720906 JYO720903:JYZ720906 KIK720903:KIV720906 KSG720903:KSR720906 LCC720903:LCN720906 LLY720903:LMJ720906 LVU720903:LWF720906 MFQ720903:MGB720906 MPM720903:MPX720906 MZI720903:MZT720906 NJE720903:NJP720906 NTA720903:NTL720906 OCW720903:ODH720906 OMS720903:OND720906 OWO720903:OWZ720906 PGK720903:PGV720906 PQG720903:PQR720906 QAC720903:QAN720906 QJY720903:QKJ720906 QTU720903:QUF720906 RDQ720903:REB720906 RNM720903:RNX720906 RXI720903:RXT720906 SHE720903:SHP720906 SRA720903:SRL720906 TAW720903:TBH720906 TKS720903:TLD720906 TUO720903:TUZ720906 UEK720903:UEV720906 UOG720903:UOR720906 UYC720903:UYN720906 VHY720903:VIJ720906 VRU720903:VSF720906 WBQ720903:WCB720906 WLM720903:WLX720906 WVI720903:WVT720906 A786439:L786442 IW786439:JH786442 SS786439:TD786442 ACO786439:ACZ786442 AMK786439:AMV786442 AWG786439:AWR786442 BGC786439:BGN786442 BPY786439:BQJ786442 BZU786439:CAF786442 CJQ786439:CKB786442 CTM786439:CTX786442 DDI786439:DDT786442 DNE786439:DNP786442 DXA786439:DXL786442 EGW786439:EHH786442 EQS786439:ERD786442 FAO786439:FAZ786442 FKK786439:FKV786442 FUG786439:FUR786442 GEC786439:GEN786442 GNY786439:GOJ786442 GXU786439:GYF786442 HHQ786439:HIB786442 HRM786439:HRX786442 IBI786439:IBT786442 ILE786439:ILP786442 IVA786439:IVL786442 JEW786439:JFH786442 JOS786439:JPD786442 JYO786439:JYZ786442 KIK786439:KIV786442 KSG786439:KSR786442 LCC786439:LCN786442 LLY786439:LMJ786442 LVU786439:LWF786442 MFQ786439:MGB786442 MPM786439:MPX786442 MZI786439:MZT786442 NJE786439:NJP786442 NTA786439:NTL786442 OCW786439:ODH786442 OMS786439:OND786442 OWO786439:OWZ786442 PGK786439:PGV786442 PQG786439:PQR786442 QAC786439:QAN786442 QJY786439:QKJ786442 QTU786439:QUF786442 RDQ786439:REB786442 RNM786439:RNX786442 RXI786439:RXT786442 SHE786439:SHP786442 SRA786439:SRL786442 TAW786439:TBH786442 TKS786439:TLD786442 TUO786439:TUZ786442 UEK786439:UEV786442 UOG786439:UOR786442 UYC786439:UYN786442 VHY786439:VIJ786442 VRU786439:VSF786442 WBQ786439:WCB786442 WLM786439:WLX786442 WVI786439:WVT786442 A851975:L851978 IW851975:JH851978 SS851975:TD851978 ACO851975:ACZ851978 AMK851975:AMV851978 AWG851975:AWR851978 BGC851975:BGN851978 BPY851975:BQJ851978 BZU851975:CAF851978 CJQ851975:CKB851978 CTM851975:CTX851978 DDI851975:DDT851978 DNE851975:DNP851978 DXA851975:DXL851978 EGW851975:EHH851978 EQS851975:ERD851978 FAO851975:FAZ851978 FKK851975:FKV851978 FUG851975:FUR851978 GEC851975:GEN851978 GNY851975:GOJ851978 GXU851975:GYF851978 HHQ851975:HIB851978 HRM851975:HRX851978 IBI851975:IBT851978 ILE851975:ILP851978 IVA851975:IVL851978 JEW851975:JFH851978 JOS851975:JPD851978 JYO851975:JYZ851978 KIK851975:KIV851978 KSG851975:KSR851978 LCC851975:LCN851978 LLY851975:LMJ851978 LVU851975:LWF851978 MFQ851975:MGB851978 MPM851975:MPX851978 MZI851975:MZT851978 NJE851975:NJP851978 NTA851975:NTL851978 OCW851975:ODH851978 OMS851975:OND851978 OWO851975:OWZ851978 PGK851975:PGV851978 PQG851975:PQR851978 QAC851975:QAN851978 QJY851975:QKJ851978 QTU851975:QUF851978 RDQ851975:REB851978 RNM851975:RNX851978 RXI851975:RXT851978 SHE851975:SHP851978 SRA851975:SRL851978 TAW851975:TBH851978 TKS851975:TLD851978 TUO851975:TUZ851978 UEK851975:UEV851978 UOG851975:UOR851978 UYC851975:UYN851978 VHY851975:VIJ851978 VRU851975:VSF851978 WBQ851975:WCB851978 WLM851975:WLX851978 WVI851975:WVT851978 A917511:L917514 IW917511:JH917514 SS917511:TD917514 ACO917511:ACZ917514 AMK917511:AMV917514 AWG917511:AWR917514 BGC917511:BGN917514 BPY917511:BQJ917514 BZU917511:CAF917514 CJQ917511:CKB917514 CTM917511:CTX917514 DDI917511:DDT917514 DNE917511:DNP917514 DXA917511:DXL917514 EGW917511:EHH917514 EQS917511:ERD917514 FAO917511:FAZ917514 FKK917511:FKV917514 FUG917511:FUR917514 GEC917511:GEN917514 GNY917511:GOJ917514 GXU917511:GYF917514 HHQ917511:HIB917514 HRM917511:HRX917514 IBI917511:IBT917514 ILE917511:ILP917514 IVA917511:IVL917514 JEW917511:JFH917514 JOS917511:JPD917514 JYO917511:JYZ917514 KIK917511:KIV917514 KSG917511:KSR917514 LCC917511:LCN917514 LLY917511:LMJ917514 LVU917511:LWF917514 MFQ917511:MGB917514 MPM917511:MPX917514 MZI917511:MZT917514 NJE917511:NJP917514 NTA917511:NTL917514 OCW917511:ODH917514 OMS917511:OND917514 OWO917511:OWZ917514 PGK917511:PGV917514 PQG917511:PQR917514 QAC917511:QAN917514 QJY917511:QKJ917514 QTU917511:QUF917514 RDQ917511:REB917514 RNM917511:RNX917514 RXI917511:RXT917514 SHE917511:SHP917514 SRA917511:SRL917514 TAW917511:TBH917514 TKS917511:TLD917514 TUO917511:TUZ917514 UEK917511:UEV917514 UOG917511:UOR917514 UYC917511:UYN917514 VHY917511:VIJ917514 VRU917511:VSF917514 WBQ917511:WCB917514 WLM917511:WLX917514 WVI917511:WVT917514 A983047:L983050 IW983047:JH983050 SS983047:TD983050 ACO983047:ACZ983050 AMK983047:AMV983050 AWG983047:AWR983050 BGC983047:BGN983050 BPY983047:BQJ983050 BZU983047:CAF983050 CJQ983047:CKB983050 CTM983047:CTX983050 DDI983047:DDT983050 DNE983047:DNP983050 DXA983047:DXL983050 EGW983047:EHH983050 EQS983047:ERD983050 FAO983047:FAZ983050 FKK983047:FKV983050 FUG983047:FUR983050 GEC983047:GEN983050 GNY983047:GOJ983050 GXU983047:GYF983050 HHQ983047:HIB983050 HRM983047:HRX983050 IBI983047:IBT983050 ILE983047:ILP983050 IVA983047:IVL983050 JEW983047:JFH983050 JOS983047:JPD983050 JYO983047:JYZ983050 KIK983047:KIV983050 KSG983047:KSR983050 LCC983047:LCN983050 LLY983047:LMJ983050 LVU983047:LWF983050 MFQ983047:MGB983050 MPM983047:MPX983050 MZI983047:MZT983050 NJE983047:NJP983050 NTA983047:NTL983050 OCW983047:ODH983050 OMS983047:OND983050 OWO983047:OWZ983050 PGK983047:PGV983050 PQG983047:PQR983050 QAC983047:QAN983050 QJY983047:QKJ983050 QTU983047:QUF983050 RDQ983047:REB983050 RNM983047:RNX983050 RXI983047:RXT983050 SHE983047:SHP983050 SRA983047:SRL983050 TAW983047:TBH983050 TKS983047:TLD983050 TUO983047:TUZ983050 UEK983047:UEV983050 UOG983047:UOR983050 UYC983047:UYN983050 VHY983047:VIJ983050 VRU983047:VSF983050 WBQ983047:WCB983050 WLM983047:WLX983050 WVI983047:WVT983050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3:AG65546 JQ65543:KC65546 TM65543:TY65546 ADI65543:ADU65546 ANE65543:ANQ65546 AXA65543:AXM65546 BGW65543:BHI65546 BQS65543:BRE65546 CAO65543:CBA65546 CKK65543:CKW65546 CUG65543:CUS65546 DEC65543:DEO65546 DNY65543:DOK65546 DXU65543:DYG65546 EHQ65543:EIC65546 ERM65543:ERY65546 FBI65543:FBU65546 FLE65543:FLQ65546 FVA65543:FVM65546 GEW65543:GFI65546 GOS65543:GPE65546 GYO65543:GZA65546 HIK65543:HIW65546 HSG65543:HSS65546 ICC65543:ICO65546 ILY65543:IMK65546 IVU65543:IWG65546 JFQ65543:JGC65546 JPM65543:JPY65546 JZI65543:JZU65546 KJE65543:KJQ65546 KTA65543:KTM65546 LCW65543:LDI65546 LMS65543:LNE65546 LWO65543:LXA65546 MGK65543:MGW65546 MQG65543:MQS65546 NAC65543:NAO65546 NJY65543:NKK65546 NTU65543:NUG65546 ODQ65543:OEC65546 ONM65543:ONY65546 OXI65543:OXU65546 PHE65543:PHQ65546 PRA65543:PRM65546 QAW65543:QBI65546 QKS65543:QLE65546 QUO65543:QVA65546 REK65543:REW65546 ROG65543:ROS65546 RYC65543:RYO65546 SHY65543:SIK65546 SRU65543:SSG65546 TBQ65543:TCC65546 TLM65543:TLY65546 TVI65543:TVU65546 UFE65543:UFQ65546 UPA65543:UPM65546 UYW65543:UZI65546 VIS65543:VJE65546 VSO65543:VTA65546 WCK65543:WCW65546 WMG65543:WMS65546 WWC65543:WWO65546 U131079:AG131082 JQ131079:KC131082 TM131079:TY131082 ADI131079:ADU131082 ANE131079:ANQ131082 AXA131079:AXM131082 BGW131079:BHI131082 BQS131079:BRE131082 CAO131079:CBA131082 CKK131079:CKW131082 CUG131079:CUS131082 DEC131079:DEO131082 DNY131079:DOK131082 DXU131079:DYG131082 EHQ131079:EIC131082 ERM131079:ERY131082 FBI131079:FBU131082 FLE131079:FLQ131082 FVA131079:FVM131082 GEW131079:GFI131082 GOS131079:GPE131082 GYO131079:GZA131082 HIK131079:HIW131082 HSG131079:HSS131082 ICC131079:ICO131082 ILY131079:IMK131082 IVU131079:IWG131082 JFQ131079:JGC131082 JPM131079:JPY131082 JZI131079:JZU131082 KJE131079:KJQ131082 KTA131079:KTM131082 LCW131079:LDI131082 LMS131079:LNE131082 LWO131079:LXA131082 MGK131079:MGW131082 MQG131079:MQS131082 NAC131079:NAO131082 NJY131079:NKK131082 NTU131079:NUG131082 ODQ131079:OEC131082 ONM131079:ONY131082 OXI131079:OXU131082 PHE131079:PHQ131082 PRA131079:PRM131082 QAW131079:QBI131082 QKS131079:QLE131082 QUO131079:QVA131082 REK131079:REW131082 ROG131079:ROS131082 RYC131079:RYO131082 SHY131079:SIK131082 SRU131079:SSG131082 TBQ131079:TCC131082 TLM131079:TLY131082 TVI131079:TVU131082 UFE131079:UFQ131082 UPA131079:UPM131082 UYW131079:UZI131082 VIS131079:VJE131082 VSO131079:VTA131082 WCK131079:WCW131082 WMG131079:WMS131082 WWC131079:WWO131082 U196615:AG196618 JQ196615:KC196618 TM196615:TY196618 ADI196615:ADU196618 ANE196615:ANQ196618 AXA196615:AXM196618 BGW196615:BHI196618 BQS196615:BRE196618 CAO196615:CBA196618 CKK196615:CKW196618 CUG196615:CUS196618 DEC196615:DEO196618 DNY196615:DOK196618 DXU196615:DYG196618 EHQ196615:EIC196618 ERM196615:ERY196618 FBI196615:FBU196618 FLE196615:FLQ196618 FVA196615:FVM196618 GEW196615:GFI196618 GOS196615:GPE196618 GYO196615:GZA196618 HIK196615:HIW196618 HSG196615:HSS196618 ICC196615:ICO196618 ILY196615:IMK196618 IVU196615:IWG196618 JFQ196615:JGC196618 JPM196615:JPY196618 JZI196615:JZU196618 KJE196615:KJQ196618 KTA196615:KTM196618 LCW196615:LDI196618 LMS196615:LNE196618 LWO196615:LXA196618 MGK196615:MGW196618 MQG196615:MQS196618 NAC196615:NAO196618 NJY196615:NKK196618 NTU196615:NUG196618 ODQ196615:OEC196618 ONM196615:ONY196618 OXI196615:OXU196618 PHE196615:PHQ196618 PRA196615:PRM196618 QAW196615:QBI196618 QKS196615:QLE196618 QUO196615:QVA196618 REK196615:REW196618 ROG196615:ROS196618 RYC196615:RYO196618 SHY196615:SIK196618 SRU196615:SSG196618 TBQ196615:TCC196618 TLM196615:TLY196618 TVI196615:TVU196618 UFE196615:UFQ196618 UPA196615:UPM196618 UYW196615:UZI196618 VIS196615:VJE196618 VSO196615:VTA196618 WCK196615:WCW196618 WMG196615:WMS196618 WWC196615:WWO196618 U262151:AG262154 JQ262151:KC262154 TM262151:TY262154 ADI262151:ADU262154 ANE262151:ANQ262154 AXA262151:AXM262154 BGW262151:BHI262154 BQS262151:BRE262154 CAO262151:CBA262154 CKK262151:CKW262154 CUG262151:CUS262154 DEC262151:DEO262154 DNY262151:DOK262154 DXU262151:DYG262154 EHQ262151:EIC262154 ERM262151:ERY262154 FBI262151:FBU262154 FLE262151:FLQ262154 FVA262151:FVM262154 GEW262151:GFI262154 GOS262151:GPE262154 GYO262151:GZA262154 HIK262151:HIW262154 HSG262151:HSS262154 ICC262151:ICO262154 ILY262151:IMK262154 IVU262151:IWG262154 JFQ262151:JGC262154 JPM262151:JPY262154 JZI262151:JZU262154 KJE262151:KJQ262154 KTA262151:KTM262154 LCW262151:LDI262154 LMS262151:LNE262154 LWO262151:LXA262154 MGK262151:MGW262154 MQG262151:MQS262154 NAC262151:NAO262154 NJY262151:NKK262154 NTU262151:NUG262154 ODQ262151:OEC262154 ONM262151:ONY262154 OXI262151:OXU262154 PHE262151:PHQ262154 PRA262151:PRM262154 QAW262151:QBI262154 QKS262151:QLE262154 QUO262151:QVA262154 REK262151:REW262154 ROG262151:ROS262154 RYC262151:RYO262154 SHY262151:SIK262154 SRU262151:SSG262154 TBQ262151:TCC262154 TLM262151:TLY262154 TVI262151:TVU262154 UFE262151:UFQ262154 UPA262151:UPM262154 UYW262151:UZI262154 VIS262151:VJE262154 VSO262151:VTA262154 WCK262151:WCW262154 WMG262151:WMS262154 WWC262151:WWO262154 U327687:AG327690 JQ327687:KC327690 TM327687:TY327690 ADI327687:ADU327690 ANE327687:ANQ327690 AXA327687:AXM327690 BGW327687:BHI327690 BQS327687:BRE327690 CAO327687:CBA327690 CKK327687:CKW327690 CUG327687:CUS327690 DEC327687:DEO327690 DNY327687:DOK327690 DXU327687:DYG327690 EHQ327687:EIC327690 ERM327687:ERY327690 FBI327687:FBU327690 FLE327687:FLQ327690 FVA327687:FVM327690 GEW327687:GFI327690 GOS327687:GPE327690 GYO327687:GZA327690 HIK327687:HIW327690 HSG327687:HSS327690 ICC327687:ICO327690 ILY327687:IMK327690 IVU327687:IWG327690 JFQ327687:JGC327690 JPM327687:JPY327690 JZI327687:JZU327690 KJE327687:KJQ327690 KTA327687:KTM327690 LCW327687:LDI327690 LMS327687:LNE327690 LWO327687:LXA327690 MGK327687:MGW327690 MQG327687:MQS327690 NAC327687:NAO327690 NJY327687:NKK327690 NTU327687:NUG327690 ODQ327687:OEC327690 ONM327687:ONY327690 OXI327687:OXU327690 PHE327687:PHQ327690 PRA327687:PRM327690 QAW327687:QBI327690 QKS327687:QLE327690 QUO327687:QVA327690 REK327687:REW327690 ROG327687:ROS327690 RYC327687:RYO327690 SHY327687:SIK327690 SRU327687:SSG327690 TBQ327687:TCC327690 TLM327687:TLY327690 TVI327687:TVU327690 UFE327687:UFQ327690 UPA327687:UPM327690 UYW327687:UZI327690 VIS327687:VJE327690 VSO327687:VTA327690 WCK327687:WCW327690 WMG327687:WMS327690 WWC327687:WWO327690 U393223:AG393226 JQ393223:KC393226 TM393223:TY393226 ADI393223:ADU393226 ANE393223:ANQ393226 AXA393223:AXM393226 BGW393223:BHI393226 BQS393223:BRE393226 CAO393223:CBA393226 CKK393223:CKW393226 CUG393223:CUS393226 DEC393223:DEO393226 DNY393223:DOK393226 DXU393223:DYG393226 EHQ393223:EIC393226 ERM393223:ERY393226 FBI393223:FBU393226 FLE393223:FLQ393226 FVA393223:FVM393226 GEW393223:GFI393226 GOS393223:GPE393226 GYO393223:GZA393226 HIK393223:HIW393226 HSG393223:HSS393226 ICC393223:ICO393226 ILY393223:IMK393226 IVU393223:IWG393226 JFQ393223:JGC393226 JPM393223:JPY393226 JZI393223:JZU393226 KJE393223:KJQ393226 KTA393223:KTM393226 LCW393223:LDI393226 LMS393223:LNE393226 LWO393223:LXA393226 MGK393223:MGW393226 MQG393223:MQS393226 NAC393223:NAO393226 NJY393223:NKK393226 NTU393223:NUG393226 ODQ393223:OEC393226 ONM393223:ONY393226 OXI393223:OXU393226 PHE393223:PHQ393226 PRA393223:PRM393226 QAW393223:QBI393226 QKS393223:QLE393226 QUO393223:QVA393226 REK393223:REW393226 ROG393223:ROS393226 RYC393223:RYO393226 SHY393223:SIK393226 SRU393223:SSG393226 TBQ393223:TCC393226 TLM393223:TLY393226 TVI393223:TVU393226 UFE393223:UFQ393226 UPA393223:UPM393226 UYW393223:UZI393226 VIS393223:VJE393226 VSO393223:VTA393226 WCK393223:WCW393226 WMG393223:WMS393226 WWC393223:WWO393226 U458759:AG458762 JQ458759:KC458762 TM458759:TY458762 ADI458759:ADU458762 ANE458759:ANQ458762 AXA458759:AXM458762 BGW458759:BHI458762 BQS458759:BRE458762 CAO458759:CBA458762 CKK458759:CKW458762 CUG458759:CUS458762 DEC458759:DEO458762 DNY458759:DOK458762 DXU458759:DYG458762 EHQ458759:EIC458762 ERM458759:ERY458762 FBI458759:FBU458762 FLE458759:FLQ458762 FVA458759:FVM458762 GEW458759:GFI458762 GOS458759:GPE458762 GYO458759:GZA458762 HIK458759:HIW458762 HSG458759:HSS458762 ICC458759:ICO458762 ILY458759:IMK458762 IVU458759:IWG458762 JFQ458759:JGC458762 JPM458759:JPY458762 JZI458759:JZU458762 KJE458759:KJQ458762 KTA458759:KTM458762 LCW458759:LDI458762 LMS458759:LNE458762 LWO458759:LXA458762 MGK458759:MGW458762 MQG458759:MQS458762 NAC458759:NAO458762 NJY458759:NKK458762 NTU458759:NUG458762 ODQ458759:OEC458762 ONM458759:ONY458762 OXI458759:OXU458762 PHE458759:PHQ458762 PRA458759:PRM458762 QAW458759:QBI458762 QKS458759:QLE458762 QUO458759:QVA458762 REK458759:REW458762 ROG458759:ROS458762 RYC458759:RYO458762 SHY458759:SIK458762 SRU458759:SSG458762 TBQ458759:TCC458762 TLM458759:TLY458762 TVI458759:TVU458762 UFE458759:UFQ458762 UPA458759:UPM458762 UYW458759:UZI458762 VIS458759:VJE458762 VSO458759:VTA458762 WCK458759:WCW458762 WMG458759:WMS458762 WWC458759:WWO458762 U524295:AG524298 JQ524295:KC524298 TM524295:TY524298 ADI524295:ADU524298 ANE524295:ANQ524298 AXA524295:AXM524298 BGW524295:BHI524298 BQS524295:BRE524298 CAO524295:CBA524298 CKK524295:CKW524298 CUG524295:CUS524298 DEC524295:DEO524298 DNY524295:DOK524298 DXU524295:DYG524298 EHQ524295:EIC524298 ERM524295:ERY524298 FBI524295:FBU524298 FLE524295:FLQ524298 FVA524295:FVM524298 GEW524295:GFI524298 GOS524295:GPE524298 GYO524295:GZA524298 HIK524295:HIW524298 HSG524295:HSS524298 ICC524295:ICO524298 ILY524295:IMK524298 IVU524295:IWG524298 JFQ524295:JGC524298 JPM524295:JPY524298 JZI524295:JZU524298 KJE524295:KJQ524298 KTA524295:KTM524298 LCW524295:LDI524298 LMS524295:LNE524298 LWO524295:LXA524298 MGK524295:MGW524298 MQG524295:MQS524298 NAC524295:NAO524298 NJY524295:NKK524298 NTU524295:NUG524298 ODQ524295:OEC524298 ONM524295:ONY524298 OXI524295:OXU524298 PHE524295:PHQ524298 PRA524295:PRM524298 QAW524295:QBI524298 QKS524295:QLE524298 QUO524295:QVA524298 REK524295:REW524298 ROG524295:ROS524298 RYC524295:RYO524298 SHY524295:SIK524298 SRU524295:SSG524298 TBQ524295:TCC524298 TLM524295:TLY524298 TVI524295:TVU524298 UFE524295:UFQ524298 UPA524295:UPM524298 UYW524295:UZI524298 VIS524295:VJE524298 VSO524295:VTA524298 WCK524295:WCW524298 WMG524295:WMS524298 WWC524295:WWO524298 U589831:AG589834 JQ589831:KC589834 TM589831:TY589834 ADI589831:ADU589834 ANE589831:ANQ589834 AXA589831:AXM589834 BGW589831:BHI589834 BQS589831:BRE589834 CAO589831:CBA589834 CKK589831:CKW589834 CUG589831:CUS589834 DEC589831:DEO589834 DNY589831:DOK589834 DXU589831:DYG589834 EHQ589831:EIC589834 ERM589831:ERY589834 FBI589831:FBU589834 FLE589831:FLQ589834 FVA589831:FVM589834 GEW589831:GFI589834 GOS589831:GPE589834 GYO589831:GZA589834 HIK589831:HIW589834 HSG589831:HSS589834 ICC589831:ICO589834 ILY589831:IMK589834 IVU589831:IWG589834 JFQ589831:JGC589834 JPM589831:JPY589834 JZI589831:JZU589834 KJE589831:KJQ589834 KTA589831:KTM589834 LCW589831:LDI589834 LMS589831:LNE589834 LWO589831:LXA589834 MGK589831:MGW589834 MQG589831:MQS589834 NAC589831:NAO589834 NJY589831:NKK589834 NTU589831:NUG589834 ODQ589831:OEC589834 ONM589831:ONY589834 OXI589831:OXU589834 PHE589831:PHQ589834 PRA589831:PRM589834 QAW589831:QBI589834 QKS589831:QLE589834 QUO589831:QVA589834 REK589831:REW589834 ROG589831:ROS589834 RYC589831:RYO589834 SHY589831:SIK589834 SRU589831:SSG589834 TBQ589831:TCC589834 TLM589831:TLY589834 TVI589831:TVU589834 UFE589831:UFQ589834 UPA589831:UPM589834 UYW589831:UZI589834 VIS589831:VJE589834 VSO589831:VTA589834 WCK589831:WCW589834 WMG589831:WMS589834 WWC589831:WWO589834 U655367:AG655370 JQ655367:KC655370 TM655367:TY655370 ADI655367:ADU655370 ANE655367:ANQ655370 AXA655367:AXM655370 BGW655367:BHI655370 BQS655367:BRE655370 CAO655367:CBA655370 CKK655367:CKW655370 CUG655367:CUS655370 DEC655367:DEO655370 DNY655367:DOK655370 DXU655367:DYG655370 EHQ655367:EIC655370 ERM655367:ERY655370 FBI655367:FBU655370 FLE655367:FLQ655370 FVA655367:FVM655370 GEW655367:GFI655370 GOS655367:GPE655370 GYO655367:GZA655370 HIK655367:HIW655370 HSG655367:HSS655370 ICC655367:ICO655370 ILY655367:IMK655370 IVU655367:IWG655370 JFQ655367:JGC655370 JPM655367:JPY655370 JZI655367:JZU655370 KJE655367:KJQ655370 KTA655367:KTM655370 LCW655367:LDI655370 LMS655367:LNE655370 LWO655367:LXA655370 MGK655367:MGW655370 MQG655367:MQS655370 NAC655367:NAO655370 NJY655367:NKK655370 NTU655367:NUG655370 ODQ655367:OEC655370 ONM655367:ONY655370 OXI655367:OXU655370 PHE655367:PHQ655370 PRA655367:PRM655370 QAW655367:QBI655370 QKS655367:QLE655370 QUO655367:QVA655370 REK655367:REW655370 ROG655367:ROS655370 RYC655367:RYO655370 SHY655367:SIK655370 SRU655367:SSG655370 TBQ655367:TCC655370 TLM655367:TLY655370 TVI655367:TVU655370 UFE655367:UFQ655370 UPA655367:UPM655370 UYW655367:UZI655370 VIS655367:VJE655370 VSO655367:VTA655370 WCK655367:WCW655370 WMG655367:WMS655370 WWC655367:WWO655370 U720903:AG720906 JQ720903:KC720906 TM720903:TY720906 ADI720903:ADU720906 ANE720903:ANQ720906 AXA720903:AXM720906 BGW720903:BHI720906 BQS720903:BRE720906 CAO720903:CBA720906 CKK720903:CKW720906 CUG720903:CUS720906 DEC720903:DEO720906 DNY720903:DOK720906 DXU720903:DYG720906 EHQ720903:EIC720906 ERM720903:ERY720906 FBI720903:FBU720906 FLE720903:FLQ720906 FVA720903:FVM720906 GEW720903:GFI720906 GOS720903:GPE720906 GYO720903:GZA720906 HIK720903:HIW720906 HSG720903:HSS720906 ICC720903:ICO720906 ILY720903:IMK720906 IVU720903:IWG720906 JFQ720903:JGC720906 JPM720903:JPY720906 JZI720903:JZU720906 KJE720903:KJQ720906 KTA720903:KTM720906 LCW720903:LDI720906 LMS720903:LNE720906 LWO720903:LXA720906 MGK720903:MGW720906 MQG720903:MQS720906 NAC720903:NAO720906 NJY720903:NKK720906 NTU720903:NUG720906 ODQ720903:OEC720906 ONM720903:ONY720906 OXI720903:OXU720906 PHE720903:PHQ720906 PRA720903:PRM720906 QAW720903:QBI720906 QKS720903:QLE720906 QUO720903:QVA720906 REK720903:REW720906 ROG720903:ROS720906 RYC720903:RYO720906 SHY720903:SIK720906 SRU720903:SSG720906 TBQ720903:TCC720906 TLM720903:TLY720906 TVI720903:TVU720906 UFE720903:UFQ720906 UPA720903:UPM720906 UYW720903:UZI720906 VIS720903:VJE720906 VSO720903:VTA720906 WCK720903:WCW720906 WMG720903:WMS720906 WWC720903:WWO720906 U786439:AG786442 JQ786439:KC786442 TM786439:TY786442 ADI786439:ADU786442 ANE786439:ANQ786442 AXA786439:AXM786442 BGW786439:BHI786442 BQS786439:BRE786442 CAO786439:CBA786442 CKK786439:CKW786442 CUG786439:CUS786442 DEC786439:DEO786442 DNY786439:DOK786442 DXU786439:DYG786442 EHQ786439:EIC786442 ERM786439:ERY786442 FBI786439:FBU786442 FLE786439:FLQ786442 FVA786439:FVM786442 GEW786439:GFI786442 GOS786439:GPE786442 GYO786439:GZA786442 HIK786439:HIW786442 HSG786439:HSS786442 ICC786439:ICO786442 ILY786439:IMK786442 IVU786439:IWG786442 JFQ786439:JGC786442 JPM786439:JPY786442 JZI786439:JZU786442 KJE786439:KJQ786442 KTA786439:KTM786442 LCW786439:LDI786442 LMS786439:LNE786442 LWO786439:LXA786442 MGK786439:MGW786442 MQG786439:MQS786442 NAC786439:NAO786442 NJY786439:NKK786442 NTU786439:NUG786442 ODQ786439:OEC786442 ONM786439:ONY786442 OXI786439:OXU786442 PHE786439:PHQ786442 PRA786439:PRM786442 QAW786439:QBI786442 QKS786439:QLE786442 QUO786439:QVA786442 REK786439:REW786442 ROG786439:ROS786442 RYC786439:RYO786442 SHY786439:SIK786442 SRU786439:SSG786442 TBQ786439:TCC786442 TLM786439:TLY786442 TVI786439:TVU786442 UFE786439:UFQ786442 UPA786439:UPM786442 UYW786439:UZI786442 VIS786439:VJE786442 VSO786439:VTA786442 WCK786439:WCW786442 WMG786439:WMS786442 WWC786439:WWO786442 U851975:AG851978 JQ851975:KC851978 TM851975:TY851978 ADI851975:ADU851978 ANE851975:ANQ851978 AXA851975:AXM851978 BGW851975:BHI851978 BQS851975:BRE851978 CAO851975:CBA851978 CKK851975:CKW851978 CUG851975:CUS851978 DEC851975:DEO851978 DNY851975:DOK851978 DXU851975:DYG851978 EHQ851975:EIC851978 ERM851975:ERY851978 FBI851975:FBU851978 FLE851975:FLQ851978 FVA851975:FVM851978 GEW851975:GFI851978 GOS851975:GPE851978 GYO851975:GZA851978 HIK851975:HIW851978 HSG851975:HSS851978 ICC851975:ICO851978 ILY851975:IMK851978 IVU851975:IWG851978 JFQ851975:JGC851978 JPM851975:JPY851978 JZI851975:JZU851978 KJE851975:KJQ851978 KTA851975:KTM851978 LCW851975:LDI851978 LMS851975:LNE851978 LWO851975:LXA851978 MGK851975:MGW851978 MQG851975:MQS851978 NAC851975:NAO851978 NJY851975:NKK851978 NTU851975:NUG851978 ODQ851975:OEC851978 ONM851975:ONY851978 OXI851975:OXU851978 PHE851975:PHQ851978 PRA851975:PRM851978 QAW851975:QBI851978 QKS851975:QLE851978 QUO851975:QVA851978 REK851975:REW851978 ROG851975:ROS851978 RYC851975:RYO851978 SHY851975:SIK851978 SRU851975:SSG851978 TBQ851975:TCC851978 TLM851975:TLY851978 TVI851975:TVU851978 UFE851975:UFQ851978 UPA851975:UPM851978 UYW851975:UZI851978 VIS851975:VJE851978 VSO851975:VTA851978 WCK851975:WCW851978 WMG851975:WMS851978 WWC851975:WWO851978 U917511:AG917514 JQ917511:KC917514 TM917511:TY917514 ADI917511:ADU917514 ANE917511:ANQ917514 AXA917511:AXM917514 BGW917511:BHI917514 BQS917511:BRE917514 CAO917511:CBA917514 CKK917511:CKW917514 CUG917511:CUS917514 DEC917511:DEO917514 DNY917511:DOK917514 DXU917511:DYG917514 EHQ917511:EIC917514 ERM917511:ERY917514 FBI917511:FBU917514 FLE917511:FLQ917514 FVA917511:FVM917514 GEW917511:GFI917514 GOS917511:GPE917514 GYO917511:GZA917514 HIK917511:HIW917514 HSG917511:HSS917514 ICC917511:ICO917514 ILY917511:IMK917514 IVU917511:IWG917514 JFQ917511:JGC917514 JPM917511:JPY917514 JZI917511:JZU917514 KJE917511:KJQ917514 KTA917511:KTM917514 LCW917511:LDI917514 LMS917511:LNE917514 LWO917511:LXA917514 MGK917511:MGW917514 MQG917511:MQS917514 NAC917511:NAO917514 NJY917511:NKK917514 NTU917511:NUG917514 ODQ917511:OEC917514 ONM917511:ONY917514 OXI917511:OXU917514 PHE917511:PHQ917514 PRA917511:PRM917514 QAW917511:QBI917514 QKS917511:QLE917514 QUO917511:QVA917514 REK917511:REW917514 ROG917511:ROS917514 RYC917511:RYO917514 SHY917511:SIK917514 SRU917511:SSG917514 TBQ917511:TCC917514 TLM917511:TLY917514 TVI917511:TVU917514 UFE917511:UFQ917514 UPA917511:UPM917514 UYW917511:UZI917514 VIS917511:VJE917514 VSO917511:VTA917514 WCK917511:WCW917514 WMG917511:WMS917514 WWC917511:WWO917514 U983047:AG983050 JQ983047:KC983050 TM983047:TY983050 ADI983047:ADU983050 ANE983047:ANQ983050 AXA983047:AXM983050 BGW983047:BHI983050 BQS983047:BRE983050 CAO983047:CBA983050 CKK983047:CKW983050 CUG983047:CUS983050 DEC983047:DEO983050 DNY983047:DOK983050 DXU983047:DYG983050 EHQ983047:EIC983050 ERM983047:ERY983050 FBI983047:FBU983050 FLE983047:FLQ983050 FVA983047:FVM983050 GEW983047:GFI983050 GOS983047:GPE983050 GYO983047:GZA983050 HIK983047:HIW983050 HSG983047:HSS983050 ICC983047:ICO983050 ILY983047:IMK983050 IVU983047:IWG983050 JFQ983047:JGC983050 JPM983047:JPY983050 JZI983047:JZU983050 KJE983047:KJQ983050 KTA983047:KTM983050 LCW983047:LDI983050 LMS983047:LNE983050 LWO983047:LXA983050 MGK983047:MGW983050 MQG983047:MQS983050 NAC983047:NAO983050 NJY983047:NKK983050 NTU983047:NUG983050 ODQ983047:OEC983050 ONM983047:ONY983050 OXI983047:OXU983050 PHE983047:PHQ983050 PRA983047:PRM983050 QAW983047:QBI983050 QKS983047:QLE983050 QUO983047:QVA983050 REK983047:REW983050 ROG983047:ROS983050 RYC983047:RYO983050 SHY983047:SIK983050 SRU983047:SSG983050 TBQ983047:TCC983050 TLM983047:TLY983050 TVI983047:TVU983050 UFE983047:UFQ983050 UPA983047:UPM983050 UYW983047:UZI983050 VIS983047:VJE983050 VSO983047:VTA983050 WCK983047:WCW983050 WMG983047:WMS983050 WWC983047:WWO983050 K20:Z30 JG21:JV30 TC21:TR30 ACY21:ADN30 AMU21:ANJ30 AWQ21:AXF30 BGM21:BHB30 BQI21:BQX30 CAE21:CAT30 CKA21:CKP30 CTW21:CUL30 DDS21:DEH30 DNO21:DOD30 DXK21:DXZ30 EHG21:EHV30 ERC21:ERR30 FAY21:FBN30 FKU21:FLJ30 FUQ21:FVF30 GEM21:GFB30 GOI21:GOX30 GYE21:GYT30 HIA21:HIP30 HRW21:HSL30 IBS21:ICH30 ILO21:IMD30 IVK21:IVZ30 JFG21:JFV30 JPC21:JPR30 JYY21:JZN30 KIU21:KJJ30 KSQ21:KTF30 LCM21:LDB30 LMI21:LMX30 LWE21:LWT30 MGA21:MGP30 MPW21:MQL30 MZS21:NAH30 NJO21:NKD30 NTK21:NTZ30 ODG21:ODV30 ONC21:ONR30 OWY21:OXN30 PGU21:PHJ30 PQQ21:PRF30 QAM21:QBB30 QKI21:QKX30 QUE21:QUT30 REA21:REP30 RNW21:ROL30 RXS21:RYH30 SHO21:SID30 SRK21:SRZ30 TBG21:TBV30 TLC21:TLR30 TUY21:TVN30 UEU21:UFJ30 UOQ21:UPF30 UYM21:UZB30 VII21:VIX30 VSE21:VST30 WCA21:WCP30 WLW21:WML30 WVS21:WWH30 K65557:Z65566 JG65557:JV65566 TC65557:TR65566 ACY65557:ADN65566 AMU65557:ANJ65566 AWQ65557:AXF65566 BGM65557:BHB65566 BQI65557:BQX65566 CAE65557:CAT65566 CKA65557:CKP65566 CTW65557:CUL65566 DDS65557:DEH65566 DNO65557:DOD65566 DXK65557:DXZ65566 EHG65557:EHV65566 ERC65557:ERR65566 FAY65557:FBN65566 FKU65557:FLJ65566 FUQ65557:FVF65566 GEM65557:GFB65566 GOI65557:GOX65566 GYE65557:GYT65566 HIA65557:HIP65566 HRW65557:HSL65566 IBS65557:ICH65566 ILO65557:IMD65566 IVK65557:IVZ65566 JFG65557:JFV65566 JPC65557:JPR65566 JYY65557:JZN65566 KIU65557:KJJ65566 KSQ65557:KTF65566 LCM65557:LDB65566 LMI65557:LMX65566 LWE65557:LWT65566 MGA65557:MGP65566 MPW65557:MQL65566 MZS65557:NAH65566 NJO65557:NKD65566 NTK65557:NTZ65566 ODG65557:ODV65566 ONC65557:ONR65566 OWY65557:OXN65566 PGU65557:PHJ65566 PQQ65557:PRF65566 QAM65557:QBB65566 QKI65557:QKX65566 QUE65557:QUT65566 REA65557:REP65566 RNW65557:ROL65566 RXS65557:RYH65566 SHO65557:SID65566 SRK65557:SRZ65566 TBG65557:TBV65566 TLC65557:TLR65566 TUY65557:TVN65566 UEU65557:UFJ65566 UOQ65557:UPF65566 UYM65557:UZB65566 VII65557:VIX65566 VSE65557:VST65566 WCA65557:WCP65566 WLW65557:WML65566 WVS65557:WWH65566 K131093:Z131102 JG131093:JV131102 TC131093:TR131102 ACY131093:ADN131102 AMU131093:ANJ131102 AWQ131093:AXF131102 BGM131093:BHB131102 BQI131093:BQX131102 CAE131093:CAT131102 CKA131093:CKP131102 CTW131093:CUL131102 DDS131093:DEH131102 DNO131093:DOD131102 DXK131093:DXZ131102 EHG131093:EHV131102 ERC131093:ERR131102 FAY131093:FBN131102 FKU131093:FLJ131102 FUQ131093:FVF131102 GEM131093:GFB131102 GOI131093:GOX131102 GYE131093:GYT131102 HIA131093:HIP131102 HRW131093:HSL131102 IBS131093:ICH131102 ILO131093:IMD131102 IVK131093:IVZ131102 JFG131093:JFV131102 JPC131093:JPR131102 JYY131093:JZN131102 KIU131093:KJJ131102 KSQ131093:KTF131102 LCM131093:LDB131102 LMI131093:LMX131102 LWE131093:LWT131102 MGA131093:MGP131102 MPW131093:MQL131102 MZS131093:NAH131102 NJO131093:NKD131102 NTK131093:NTZ131102 ODG131093:ODV131102 ONC131093:ONR131102 OWY131093:OXN131102 PGU131093:PHJ131102 PQQ131093:PRF131102 QAM131093:QBB131102 QKI131093:QKX131102 QUE131093:QUT131102 REA131093:REP131102 RNW131093:ROL131102 RXS131093:RYH131102 SHO131093:SID131102 SRK131093:SRZ131102 TBG131093:TBV131102 TLC131093:TLR131102 TUY131093:TVN131102 UEU131093:UFJ131102 UOQ131093:UPF131102 UYM131093:UZB131102 VII131093:VIX131102 VSE131093:VST131102 WCA131093:WCP131102 WLW131093:WML131102 WVS131093:WWH131102 K196629:Z196638 JG196629:JV196638 TC196629:TR196638 ACY196629:ADN196638 AMU196629:ANJ196638 AWQ196629:AXF196638 BGM196629:BHB196638 BQI196629:BQX196638 CAE196629:CAT196638 CKA196629:CKP196638 CTW196629:CUL196638 DDS196629:DEH196638 DNO196629:DOD196638 DXK196629:DXZ196638 EHG196629:EHV196638 ERC196629:ERR196638 FAY196629:FBN196638 FKU196629:FLJ196638 FUQ196629:FVF196638 GEM196629:GFB196638 GOI196629:GOX196638 GYE196629:GYT196638 HIA196629:HIP196638 HRW196629:HSL196638 IBS196629:ICH196638 ILO196629:IMD196638 IVK196629:IVZ196638 JFG196629:JFV196638 JPC196629:JPR196638 JYY196629:JZN196638 KIU196629:KJJ196638 KSQ196629:KTF196638 LCM196629:LDB196638 LMI196629:LMX196638 LWE196629:LWT196638 MGA196629:MGP196638 MPW196629:MQL196638 MZS196629:NAH196638 NJO196629:NKD196638 NTK196629:NTZ196638 ODG196629:ODV196638 ONC196629:ONR196638 OWY196629:OXN196638 PGU196629:PHJ196638 PQQ196629:PRF196638 QAM196629:QBB196638 QKI196629:QKX196638 QUE196629:QUT196638 REA196629:REP196638 RNW196629:ROL196638 RXS196629:RYH196638 SHO196629:SID196638 SRK196629:SRZ196638 TBG196629:TBV196638 TLC196629:TLR196638 TUY196629:TVN196638 UEU196629:UFJ196638 UOQ196629:UPF196638 UYM196629:UZB196638 VII196629:VIX196638 VSE196629:VST196638 WCA196629:WCP196638 WLW196629:WML196638 WVS196629:WWH196638 K262165:Z262174 JG262165:JV262174 TC262165:TR262174 ACY262165:ADN262174 AMU262165:ANJ262174 AWQ262165:AXF262174 BGM262165:BHB262174 BQI262165:BQX262174 CAE262165:CAT262174 CKA262165:CKP262174 CTW262165:CUL262174 DDS262165:DEH262174 DNO262165:DOD262174 DXK262165:DXZ262174 EHG262165:EHV262174 ERC262165:ERR262174 FAY262165:FBN262174 FKU262165:FLJ262174 FUQ262165:FVF262174 GEM262165:GFB262174 GOI262165:GOX262174 GYE262165:GYT262174 HIA262165:HIP262174 HRW262165:HSL262174 IBS262165:ICH262174 ILO262165:IMD262174 IVK262165:IVZ262174 JFG262165:JFV262174 JPC262165:JPR262174 JYY262165:JZN262174 KIU262165:KJJ262174 KSQ262165:KTF262174 LCM262165:LDB262174 LMI262165:LMX262174 LWE262165:LWT262174 MGA262165:MGP262174 MPW262165:MQL262174 MZS262165:NAH262174 NJO262165:NKD262174 NTK262165:NTZ262174 ODG262165:ODV262174 ONC262165:ONR262174 OWY262165:OXN262174 PGU262165:PHJ262174 PQQ262165:PRF262174 QAM262165:QBB262174 QKI262165:QKX262174 QUE262165:QUT262174 REA262165:REP262174 RNW262165:ROL262174 RXS262165:RYH262174 SHO262165:SID262174 SRK262165:SRZ262174 TBG262165:TBV262174 TLC262165:TLR262174 TUY262165:TVN262174 UEU262165:UFJ262174 UOQ262165:UPF262174 UYM262165:UZB262174 VII262165:VIX262174 VSE262165:VST262174 WCA262165:WCP262174 WLW262165:WML262174 WVS262165:WWH262174 K327701:Z327710 JG327701:JV327710 TC327701:TR327710 ACY327701:ADN327710 AMU327701:ANJ327710 AWQ327701:AXF327710 BGM327701:BHB327710 BQI327701:BQX327710 CAE327701:CAT327710 CKA327701:CKP327710 CTW327701:CUL327710 DDS327701:DEH327710 DNO327701:DOD327710 DXK327701:DXZ327710 EHG327701:EHV327710 ERC327701:ERR327710 FAY327701:FBN327710 FKU327701:FLJ327710 FUQ327701:FVF327710 GEM327701:GFB327710 GOI327701:GOX327710 GYE327701:GYT327710 HIA327701:HIP327710 HRW327701:HSL327710 IBS327701:ICH327710 ILO327701:IMD327710 IVK327701:IVZ327710 JFG327701:JFV327710 JPC327701:JPR327710 JYY327701:JZN327710 KIU327701:KJJ327710 KSQ327701:KTF327710 LCM327701:LDB327710 LMI327701:LMX327710 LWE327701:LWT327710 MGA327701:MGP327710 MPW327701:MQL327710 MZS327701:NAH327710 NJO327701:NKD327710 NTK327701:NTZ327710 ODG327701:ODV327710 ONC327701:ONR327710 OWY327701:OXN327710 PGU327701:PHJ327710 PQQ327701:PRF327710 QAM327701:QBB327710 QKI327701:QKX327710 QUE327701:QUT327710 REA327701:REP327710 RNW327701:ROL327710 RXS327701:RYH327710 SHO327701:SID327710 SRK327701:SRZ327710 TBG327701:TBV327710 TLC327701:TLR327710 TUY327701:TVN327710 UEU327701:UFJ327710 UOQ327701:UPF327710 UYM327701:UZB327710 VII327701:VIX327710 VSE327701:VST327710 WCA327701:WCP327710 WLW327701:WML327710 WVS327701:WWH327710 K393237:Z393246 JG393237:JV393246 TC393237:TR393246 ACY393237:ADN393246 AMU393237:ANJ393246 AWQ393237:AXF393246 BGM393237:BHB393246 BQI393237:BQX393246 CAE393237:CAT393246 CKA393237:CKP393246 CTW393237:CUL393246 DDS393237:DEH393246 DNO393237:DOD393246 DXK393237:DXZ393246 EHG393237:EHV393246 ERC393237:ERR393246 FAY393237:FBN393246 FKU393237:FLJ393246 FUQ393237:FVF393246 GEM393237:GFB393246 GOI393237:GOX393246 GYE393237:GYT393246 HIA393237:HIP393246 HRW393237:HSL393246 IBS393237:ICH393246 ILO393237:IMD393246 IVK393237:IVZ393246 JFG393237:JFV393246 JPC393237:JPR393246 JYY393237:JZN393246 KIU393237:KJJ393246 KSQ393237:KTF393246 LCM393237:LDB393246 LMI393237:LMX393246 LWE393237:LWT393246 MGA393237:MGP393246 MPW393237:MQL393246 MZS393237:NAH393246 NJO393237:NKD393246 NTK393237:NTZ393246 ODG393237:ODV393246 ONC393237:ONR393246 OWY393237:OXN393246 PGU393237:PHJ393246 PQQ393237:PRF393246 QAM393237:QBB393246 QKI393237:QKX393246 QUE393237:QUT393246 REA393237:REP393246 RNW393237:ROL393246 RXS393237:RYH393246 SHO393237:SID393246 SRK393237:SRZ393246 TBG393237:TBV393246 TLC393237:TLR393246 TUY393237:TVN393246 UEU393237:UFJ393246 UOQ393237:UPF393246 UYM393237:UZB393246 VII393237:VIX393246 VSE393237:VST393246 WCA393237:WCP393246 WLW393237:WML393246 WVS393237:WWH393246 K458773:Z458782 JG458773:JV458782 TC458773:TR458782 ACY458773:ADN458782 AMU458773:ANJ458782 AWQ458773:AXF458782 BGM458773:BHB458782 BQI458773:BQX458782 CAE458773:CAT458782 CKA458773:CKP458782 CTW458773:CUL458782 DDS458773:DEH458782 DNO458773:DOD458782 DXK458773:DXZ458782 EHG458773:EHV458782 ERC458773:ERR458782 FAY458773:FBN458782 FKU458773:FLJ458782 FUQ458773:FVF458782 GEM458773:GFB458782 GOI458773:GOX458782 GYE458773:GYT458782 HIA458773:HIP458782 HRW458773:HSL458782 IBS458773:ICH458782 ILO458773:IMD458782 IVK458773:IVZ458782 JFG458773:JFV458782 JPC458773:JPR458782 JYY458773:JZN458782 KIU458773:KJJ458782 KSQ458773:KTF458782 LCM458773:LDB458782 LMI458773:LMX458782 LWE458773:LWT458782 MGA458773:MGP458782 MPW458773:MQL458782 MZS458773:NAH458782 NJO458773:NKD458782 NTK458773:NTZ458782 ODG458773:ODV458782 ONC458773:ONR458782 OWY458773:OXN458782 PGU458773:PHJ458782 PQQ458773:PRF458782 QAM458773:QBB458782 QKI458773:QKX458782 QUE458773:QUT458782 REA458773:REP458782 RNW458773:ROL458782 RXS458773:RYH458782 SHO458773:SID458782 SRK458773:SRZ458782 TBG458773:TBV458782 TLC458773:TLR458782 TUY458773:TVN458782 UEU458773:UFJ458782 UOQ458773:UPF458782 UYM458773:UZB458782 VII458773:VIX458782 VSE458773:VST458782 WCA458773:WCP458782 WLW458773:WML458782 WVS458773:WWH458782 K524309:Z524318 JG524309:JV524318 TC524309:TR524318 ACY524309:ADN524318 AMU524309:ANJ524318 AWQ524309:AXF524318 BGM524309:BHB524318 BQI524309:BQX524318 CAE524309:CAT524318 CKA524309:CKP524318 CTW524309:CUL524318 DDS524309:DEH524318 DNO524309:DOD524318 DXK524309:DXZ524318 EHG524309:EHV524318 ERC524309:ERR524318 FAY524309:FBN524318 FKU524309:FLJ524318 FUQ524309:FVF524318 GEM524309:GFB524318 GOI524309:GOX524318 GYE524309:GYT524318 HIA524309:HIP524318 HRW524309:HSL524318 IBS524309:ICH524318 ILO524309:IMD524318 IVK524309:IVZ524318 JFG524309:JFV524318 JPC524309:JPR524318 JYY524309:JZN524318 KIU524309:KJJ524318 KSQ524309:KTF524318 LCM524309:LDB524318 LMI524309:LMX524318 LWE524309:LWT524318 MGA524309:MGP524318 MPW524309:MQL524318 MZS524309:NAH524318 NJO524309:NKD524318 NTK524309:NTZ524318 ODG524309:ODV524318 ONC524309:ONR524318 OWY524309:OXN524318 PGU524309:PHJ524318 PQQ524309:PRF524318 QAM524309:QBB524318 QKI524309:QKX524318 QUE524309:QUT524318 REA524309:REP524318 RNW524309:ROL524318 RXS524309:RYH524318 SHO524309:SID524318 SRK524309:SRZ524318 TBG524309:TBV524318 TLC524309:TLR524318 TUY524309:TVN524318 UEU524309:UFJ524318 UOQ524309:UPF524318 UYM524309:UZB524318 VII524309:VIX524318 VSE524309:VST524318 WCA524309:WCP524318 WLW524309:WML524318 WVS524309:WWH524318 K589845:Z589854 JG589845:JV589854 TC589845:TR589854 ACY589845:ADN589854 AMU589845:ANJ589854 AWQ589845:AXF589854 BGM589845:BHB589854 BQI589845:BQX589854 CAE589845:CAT589854 CKA589845:CKP589854 CTW589845:CUL589854 DDS589845:DEH589854 DNO589845:DOD589854 DXK589845:DXZ589854 EHG589845:EHV589854 ERC589845:ERR589854 FAY589845:FBN589854 FKU589845:FLJ589854 FUQ589845:FVF589854 GEM589845:GFB589854 GOI589845:GOX589854 GYE589845:GYT589854 HIA589845:HIP589854 HRW589845:HSL589854 IBS589845:ICH589854 ILO589845:IMD589854 IVK589845:IVZ589854 JFG589845:JFV589854 JPC589845:JPR589854 JYY589845:JZN589854 KIU589845:KJJ589854 KSQ589845:KTF589854 LCM589845:LDB589854 LMI589845:LMX589854 LWE589845:LWT589854 MGA589845:MGP589854 MPW589845:MQL589854 MZS589845:NAH589854 NJO589845:NKD589854 NTK589845:NTZ589854 ODG589845:ODV589854 ONC589845:ONR589854 OWY589845:OXN589854 PGU589845:PHJ589854 PQQ589845:PRF589854 QAM589845:QBB589854 QKI589845:QKX589854 QUE589845:QUT589854 REA589845:REP589854 RNW589845:ROL589854 RXS589845:RYH589854 SHO589845:SID589854 SRK589845:SRZ589854 TBG589845:TBV589854 TLC589845:TLR589854 TUY589845:TVN589854 UEU589845:UFJ589854 UOQ589845:UPF589854 UYM589845:UZB589854 VII589845:VIX589854 VSE589845:VST589854 WCA589845:WCP589854 WLW589845:WML589854 WVS589845:WWH589854 K655381:Z655390 JG655381:JV655390 TC655381:TR655390 ACY655381:ADN655390 AMU655381:ANJ655390 AWQ655381:AXF655390 BGM655381:BHB655390 BQI655381:BQX655390 CAE655381:CAT655390 CKA655381:CKP655390 CTW655381:CUL655390 DDS655381:DEH655390 DNO655381:DOD655390 DXK655381:DXZ655390 EHG655381:EHV655390 ERC655381:ERR655390 FAY655381:FBN655390 FKU655381:FLJ655390 FUQ655381:FVF655390 GEM655381:GFB655390 GOI655381:GOX655390 GYE655381:GYT655390 HIA655381:HIP655390 HRW655381:HSL655390 IBS655381:ICH655390 ILO655381:IMD655390 IVK655381:IVZ655390 JFG655381:JFV655390 JPC655381:JPR655390 JYY655381:JZN655390 KIU655381:KJJ655390 KSQ655381:KTF655390 LCM655381:LDB655390 LMI655381:LMX655390 LWE655381:LWT655390 MGA655381:MGP655390 MPW655381:MQL655390 MZS655381:NAH655390 NJO655381:NKD655390 NTK655381:NTZ655390 ODG655381:ODV655390 ONC655381:ONR655390 OWY655381:OXN655390 PGU655381:PHJ655390 PQQ655381:PRF655390 QAM655381:QBB655390 QKI655381:QKX655390 QUE655381:QUT655390 REA655381:REP655390 RNW655381:ROL655390 RXS655381:RYH655390 SHO655381:SID655390 SRK655381:SRZ655390 TBG655381:TBV655390 TLC655381:TLR655390 TUY655381:TVN655390 UEU655381:UFJ655390 UOQ655381:UPF655390 UYM655381:UZB655390 VII655381:VIX655390 VSE655381:VST655390 WCA655381:WCP655390 WLW655381:WML655390 WVS655381:WWH655390 K720917:Z720926 JG720917:JV720926 TC720917:TR720926 ACY720917:ADN720926 AMU720917:ANJ720926 AWQ720917:AXF720926 BGM720917:BHB720926 BQI720917:BQX720926 CAE720917:CAT720926 CKA720917:CKP720926 CTW720917:CUL720926 DDS720917:DEH720926 DNO720917:DOD720926 DXK720917:DXZ720926 EHG720917:EHV720926 ERC720917:ERR720926 FAY720917:FBN720926 FKU720917:FLJ720926 FUQ720917:FVF720926 GEM720917:GFB720926 GOI720917:GOX720926 GYE720917:GYT720926 HIA720917:HIP720926 HRW720917:HSL720926 IBS720917:ICH720926 ILO720917:IMD720926 IVK720917:IVZ720926 JFG720917:JFV720926 JPC720917:JPR720926 JYY720917:JZN720926 KIU720917:KJJ720926 KSQ720917:KTF720926 LCM720917:LDB720926 LMI720917:LMX720926 LWE720917:LWT720926 MGA720917:MGP720926 MPW720917:MQL720926 MZS720917:NAH720926 NJO720917:NKD720926 NTK720917:NTZ720926 ODG720917:ODV720926 ONC720917:ONR720926 OWY720917:OXN720926 PGU720917:PHJ720926 PQQ720917:PRF720926 QAM720917:QBB720926 QKI720917:QKX720926 QUE720917:QUT720926 REA720917:REP720926 RNW720917:ROL720926 RXS720917:RYH720926 SHO720917:SID720926 SRK720917:SRZ720926 TBG720917:TBV720926 TLC720917:TLR720926 TUY720917:TVN720926 UEU720917:UFJ720926 UOQ720917:UPF720926 UYM720917:UZB720926 VII720917:VIX720926 VSE720917:VST720926 WCA720917:WCP720926 WLW720917:WML720926 WVS720917:WWH720926 K786453:Z786462 JG786453:JV786462 TC786453:TR786462 ACY786453:ADN786462 AMU786453:ANJ786462 AWQ786453:AXF786462 BGM786453:BHB786462 BQI786453:BQX786462 CAE786453:CAT786462 CKA786453:CKP786462 CTW786453:CUL786462 DDS786453:DEH786462 DNO786453:DOD786462 DXK786453:DXZ786462 EHG786453:EHV786462 ERC786453:ERR786462 FAY786453:FBN786462 FKU786453:FLJ786462 FUQ786453:FVF786462 GEM786453:GFB786462 GOI786453:GOX786462 GYE786453:GYT786462 HIA786453:HIP786462 HRW786453:HSL786462 IBS786453:ICH786462 ILO786453:IMD786462 IVK786453:IVZ786462 JFG786453:JFV786462 JPC786453:JPR786462 JYY786453:JZN786462 KIU786453:KJJ786462 KSQ786453:KTF786462 LCM786453:LDB786462 LMI786453:LMX786462 LWE786453:LWT786462 MGA786453:MGP786462 MPW786453:MQL786462 MZS786453:NAH786462 NJO786453:NKD786462 NTK786453:NTZ786462 ODG786453:ODV786462 ONC786453:ONR786462 OWY786453:OXN786462 PGU786453:PHJ786462 PQQ786453:PRF786462 QAM786453:QBB786462 QKI786453:QKX786462 QUE786453:QUT786462 REA786453:REP786462 RNW786453:ROL786462 RXS786453:RYH786462 SHO786453:SID786462 SRK786453:SRZ786462 TBG786453:TBV786462 TLC786453:TLR786462 TUY786453:TVN786462 UEU786453:UFJ786462 UOQ786453:UPF786462 UYM786453:UZB786462 VII786453:VIX786462 VSE786453:VST786462 WCA786453:WCP786462 WLW786453:WML786462 WVS786453:WWH786462 K851989:Z851998 JG851989:JV851998 TC851989:TR851998 ACY851989:ADN851998 AMU851989:ANJ851998 AWQ851989:AXF851998 BGM851989:BHB851998 BQI851989:BQX851998 CAE851989:CAT851998 CKA851989:CKP851998 CTW851989:CUL851998 DDS851989:DEH851998 DNO851989:DOD851998 DXK851989:DXZ851998 EHG851989:EHV851998 ERC851989:ERR851998 FAY851989:FBN851998 FKU851989:FLJ851998 FUQ851989:FVF851998 GEM851989:GFB851998 GOI851989:GOX851998 GYE851989:GYT851998 HIA851989:HIP851998 HRW851989:HSL851998 IBS851989:ICH851998 ILO851989:IMD851998 IVK851989:IVZ851998 JFG851989:JFV851998 JPC851989:JPR851998 JYY851989:JZN851998 KIU851989:KJJ851998 KSQ851989:KTF851998 LCM851989:LDB851998 LMI851989:LMX851998 LWE851989:LWT851998 MGA851989:MGP851998 MPW851989:MQL851998 MZS851989:NAH851998 NJO851989:NKD851998 NTK851989:NTZ851998 ODG851989:ODV851998 ONC851989:ONR851998 OWY851989:OXN851998 PGU851989:PHJ851998 PQQ851989:PRF851998 QAM851989:QBB851998 QKI851989:QKX851998 QUE851989:QUT851998 REA851989:REP851998 RNW851989:ROL851998 RXS851989:RYH851998 SHO851989:SID851998 SRK851989:SRZ851998 TBG851989:TBV851998 TLC851989:TLR851998 TUY851989:TVN851998 UEU851989:UFJ851998 UOQ851989:UPF851998 UYM851989:UZB851998 VII851989:VIX851998 VSE851989:VST851998 WCA851989:WCP851998 WLW851989:WML851998 WVS851989:WWH851998 K917525:Z917534 JG917525:JV917534 TC917525:TR917534 ACY917525:ADN917534 AMU917525:ANJ917534 AWQ917525:AXF917534 BGM917525:BHB917534 BQI917525:BQX917534 CAE917525:CAT917534 CKA917525:CKP917534 CTW917525:CUL917534 DDS917525:DEH917534 DNO917525:DOD917534 DXK917525:DXZ917534 EHG917525:EHV917534 ERC917525:ERR917534 FAY917525:FBN917534 FKU917525:FLJ917534 FUQ917525:FVF917534 GEM917525:GFB917534 GOI917525:GOX917534 GYE917525:GYT917534 HIA917525:HIP917534 HRW917525:HSL917534 IBS917525:ICH917534 ILO917525:IMD917534 IVK917525:IVZ917534 JFG917525:JFV917534 JPC917525:JPR917534 JYY917525:JZN917534 KIU917525:KJJ917534 KSQ917525:KTF917534 LCM917525:LDB917534 LMI917525:LMX917534 LWE917525:LWT917534 MGA917525:MGP917534 MPW917525:MQL917534 MZS917525:NAH917534 NJO917525:NKD917534 NTK917525:NTZ917534 ODG917525:ODV917534 ONC917525:ONR917534 OWY917525:OXN917534 PGU917525:PHJ917534 PQQ917525:PRF917534 QAM917525:QBB917534 QKI917525:QKX917534 QUE917525:QUT917534 REA917525:REP917534 RNW917525:ROL917534 RXS917525:RYH917534 SHO917525:SID917534 SRK917525:SRZ917534 TBG917525:TBV917534 TLC917525:TLR917534 TUY917525:TVN917534 UEU917525:UFJ917534 UOQ917525:UPF917534 UYM917525:UZB917534 VII917525:VIX917534 VSE917525:VST917534 WCA917525:WCP917534 WLW917525:WML917534 WVS917525:WWH917534 K983061:Z983070 JG983061:JV983070 TC983061:TR983070 ACY983061:ADN983070 AMU983061:ANJ983070 AWQ983061:AXF983070 BGM983061:BHB983070 BQI983061:BQX983070 CAE983061:CAT983070 CKA983061:CKP983070 CTW983061:CUL983070 DDS983061:DEH983070 DNO983061:DOD983070 DXK983061:DXZ983070 EHG983061:EHV983070 ERC983061:ERR983070 FAY983061:FBN983070 FKU983061:FLJ983070 FUQ983061:FVF983070 GEM983061:GFB983070 GOI983061:GOX983070 GYE983061:GYT983070 HIA983061:HIP983070 HRW983061:HSL983070 IBS983061:ICH983070 ILO983061:IMD983070 IVK983061:IVZ983070 JFG983061:JFV983070 JPC983061:JPR983070 JYY983061:JZN983070 KIU983061:KJJ983070 KSQ983061:KTF983070 LCM983061:LDB983070 LMI983061:LMX983070 LWE983061:LWT983070 MGA983061:MGP983070 MPW983061:MQL983070 MZS983061:NAH983070 NJO983061:NKD983070 NTK983061:NTZ983070 ODG983061:ODV983070 ONC983061:ONR983070 OWY983061:OXN983070 PGU983061:PHJ983070 PQQ983061:PRF983070 QAM983061:QBB983070 QKI983061:QKX983070 QUE983061:QUT983070 REA983061:REP983070 RNW983061:ROL983070 RXS983061:RYH983070 SHO983061:SID983070 SRK983061:SRZ983070 TBG983061:TBV983070 TLC983061:TLR983070 TUY983061:TVN983070 UEU983061:UFJ983070 UOQ983061:UPF983070 UYM983061:UZB983070 VII983061:VIX983070 VSE983061:VST983070 WCA983061:WCP983070 WLW983061:WML983070 WVS983061:WWH983070 T31:AG31 JP31:KC31 TL31:TY31 ADH31:ADU31 AND31:ANQ31 AWZ31:AXM31 BGV31:BHI31 BQR31:BRE31 CAN31:CBA31 CKJ31:CKW31 CUF31:CUS31 DEB31:DEO31 DNX31:DOK31 DXT31:DYG31 EHP31:EIC31 ERL31:ERY31 FBH31:FBU31 FLD31:FLQ31 FUZ31:FVM31 GEV31:GFI31 GOR31:GPE31 GYN31:GZA31 HIJ31:HIW31 HSF31:HSS31 ICB31:ICO31 ILX31:IMK31 IVT31:IWG31 JFP31:JGC31 JPL31:JPY31 JZH31:JZU31 KJD31:KJQ31 KSZ31:KTM31 LCV31:LDI31 LMR31:LNE31 LWN31:LXA31 MGJ31:MGW31 MQF31:MQS31 NAB31:NAO31 NJX31:NKK31 NTT31:NUG31 ODP31:OEC31 ONL31:ONY31 OXH31:OXU31 PHD31:PHQ31 PQZ31:PRM31 QAV31:QBI31 QKR31:QLE31 QUN31:QVA31 REJ31:REW31 ROF31:ROS31 RYB31:RYO31 SHX31:SIK31 SRT31:SSG31 TBP31:TCC31 TLL31:TLY31 TVH31:TVU31 UFD31:UFQ31 UOZ31:UPM31 UYV31:UZI31 VIR31:VJE31 VSN31:VTA31 WCJ31:WCW31 WMF31:WMS31 WWB31:WWO31 T65567:AG65567 JP65567:KC65567 TL65567:TY65567 ADH65567:ADU65567 AND65567:ANQ65567 AWZ65567:AXM65567 BGV65567:BHI65567 BQR65567:BRE65567 CAN65567:CBA65567 CKJ65567:CKW65567 CUF65567:CUS65567 DEB65567:DEO65567 DNX65567:DOK65567 DXT65567:DYG65567 EHP65567:EIC65567 ERL65567:ERY65567 FBH65567:FBU65567 FLD65567:FLQ65567 FUZ65567:FVM65567 GEV65567:GFI65567 GOR65567:GPE65567 GYN65567:GZA65567 HIJ65567:HIW65567 HSF65567:HSS65567 ICB65567:ICO65567 ILX65567:IMK65567 IVT65567:IWG65567 JFP65567:JGC65567 JPL65567:JPY65567 JZH65567:JZU65567 KJD65567:KJQ65567 KSZ65567:KTM65567 LCV65567:LDI65567 LMR65567:LNE65567 LWN65567:LXA65567 MGJ65567:MGW65567 MQF65567:MQS65567 NAB65567:NAO65567 NJX65567:NKK65567 NTT65567:NUG65567 ODP65567:OEC65567 ONL65567:ONY65567 OXH65567:OXU65567 PHD65567:PHQ65567 PQZ65567:PRM65567 QAV65567:QBI65567 QKR65567:QLE65567 QUN65567:QVA65567 REJ65567:REW65567 ROF65567:ROS65567 RYB65567:RYO65567 SHX65567:SIK65567 SRT65567:SSG65567 TBP65567:TCC65567 TLL65567:TLY65567 TVH65567:TVU65567 UFD65567:UFQ65567 UOZ65567:UPM65567 UYV65567:UZI65567 VIR65567:VJE65567 VSN65567:VTA65567 WCJ65567:WCW65567 WMF65567:WMS65567 WWB65567:WWO65567 T131103:AG131103 JP131103:KC131103 TL131103:TY131103 ADH131103:ADU131103 AND131103:ANQ131103 AWZ131103:AXM131103 BGV131103:BHI131103 BQR131103:BRE131103 CAN131103:CBA131103 CKJ131103:CKW131103 CUF131103:CUS131103 DEB131103:DEO131103 DNX131103:DOK131103 DXT131103:DYG131103 EHP131103:EIC131103 ERL131103:ERY131103 FBH131103:FBU131103 FLD131103:FLQ131103 FUZ131103:FVM131103 GEV131103:GFI131103 GOR131103:GPE131103 GYN131103:GZA131103 HIJ131103:HIW131103 HSF131103:HSS131103 ICB131103:ICO131103 ILX131103:IMK131103 IVT131103:IWG131103 JFP131103:JGC131103 JPL131103:JPY131103 JZH131103:JZU131103 KJD131103:KJQ131103 KSZ131103:KTM131103 LCV131103:LDI131103 LMR131103:LNE131103 LWN131103:LXA131103 MGJ131103:MGW131103 MQF131103:MQS131103 NAB131103:NAO131103 NJX131103:NKK131103 NTT131103:NUG131103 ODP131103:OEC131103 ONL131103:ONY131103 OXH131103:OXU131103 PHD131103:PHQ131103 PQZ131103:PRM131103 QAV131103:QBI131103 QKR131103:QLE131103 QUN131103:QVA131103 REJ131103:REW131103 ROF131103:ROS131103 RYB131103:RYO131103 SHX131103:SIK131103 SRT131103:SSG131103 TBP131103:TCC131103 TLL131103:TLY131103 TVH131103:TVU131103 UFD131103:UFQ131103 UOZ131103:UPM131103 UYV131103:UZI131103 VIR131103:VJE131103 VSN131103:VTA131103 WCJ131103:WCW131103 WMF131103:WMS131103 WWB131103:WWO131103 T196639:AG196639 JP196639:KC196639 TL196639:TY196639 ADH196639:ADU196639 AND196639:ANQ196639 AWZ196639:AXM196639 BGV196639:BHI196639 BQR196639:BRE196639 CAN196639:CBA196639 CKJ196639:CKW196639 CUF196639:CUS196639 DEB196639:DEO196639 DNX196639:DOK196639 DXT196639:DYG196639 EHP196639:EIC196639 ERL196639:ERY196639 FBH196639:FBU196639 FLD196639:FLQ196639 FUZ196639:FVM196639 GEV196639:GFI196639 GOR196639:GPE196639 GYN196639:GZA196639 HIJ196639:HIW196639 HSF196639:HSS196639 ICB196639:ICO196639 ILX196639:IMK196639 IVT196639:IWG196639 JFP196639:JGC196639 JPL196639:JPY196639 JZH196639:JZU196639 KJD196639:KJQ196639 KSZ196639:KTM196639 LCV196639:LDI196639 LMR196639:LNE196639 LWN196639:LXA196639 MGJ196639:MGW196639 MQF196639:MQS196639 NAB196639:NAO196639 NJX196639:NKK196639 NTT196639:NUG196639 ODP196639:OEC196639 ONL196639:ONY196639 OXH196639:OXU196639 PHD196639:PHQ196639 PQZ196639:PRM196639 QAV196639:QBI196639 QKR196639:QLE196639 QUN196639:QVA196639 REJ196639:REW196639 ROF196639:ROS196639 RYB196639:RYO196639 SHX196639:SIK196639 SRT196639:SSG196639 TBP196639:TCC196639 TLL196639:TLY196639 TVH196639:TVU196639 UFD196639:UFQ196639 UOZ196639:UPM196639 UYV196639:UZI196639 VIR196639:VJE196639 VSN196639:VTA196639 WCJ196639:WCW196639 WMF196639:WMS196639 WWB196639:WWO196639 T262175:AG262175 JP262175:KC262175 TL262175:TY262175 ADH262175:ADU262175 AND262175:ANQ262175 AWZ262175:AXM262175 BGV262175:BHI262175 BQR262175:BRE262175 CAN262175:CBA262175 CKJ262175:CKW262175 CUF262175:CUS262175 DEB262175:DEO262175 DNX262175:DOK262175 DXT262175:DYG262175 EHP262175:EIC262175 ERL262175:ERY262175 FBH262175:FBU262175 FLD262175:FLQ262175 FUZ262175:FVM262175 GEV262175:GFI262175 GOR262175:GPE262175 GYN262175:GZA262175 HIJ262175:HIW262175 HSF262175:HSS262175 ICB262175:ICO262175 ILX262175:IMK262175 IVT262175:IWG262175 JFP262175:JGC262175 JPL262175:JPY262175 JZH262175:JZU262175 KJD262175:KJQ262175 KSZ262175:KTM262175 LCV262175:LDI262175 LMR262175:LNE262175 LWN262175:LXA262175 MGJ262175:MGW262175 MQF262175:MQS262175 NAB262175:NAO262175 NJX262175:NKK262175 NTT262175:NUG262175 ODP262175:OEC262175 ONL262175:ONY262175 OXH262175:OXU262175 PHD262175:PHQ262175 PQZ262175:PRM262175 QAV262175:QBI262175 QKR262175:QLE262175 QUN262175:QVA262175 REJ262175:REW262175 ROF262175:ROS262175 RYB262175:RYO262175 SHX262175:SIK262175 SRT262175:SSG262175 TBP262175:TCC262175 TLL262175:TLY262175 TVH262175:TVU262175 UFD262175:UFQ262175 UOZ262175:UPM262175 UYV262175:UZI262175 VIR262175:VJE262175 VSN262175:VTA262175 WCJ262175:WCW262175 WMF262175:WMS262175 WWB262175:WWO262175 T327711:AG327711 JP327711:KC327711 TL327711:TY327711 ADH327711:ADU327711 AND327711:ANQ327711 AWZ327711:AXM327711 BGV327711:BHI327711 BQR327711:BRE327711 CAN327711:CBA327711 CKJ327711:CKW327711 CUF327711:CUS327711 DEB327711:DEO327711 DNX327711:DOK327711 DXT327711:DYG327711 EHP327711:EIC327711 ERL327711:ERY327711 FBH327711:FBU327711 FLD327711:FLQ327711 FUZ327711:FVM327711 GEV327711:GFI327711 GOR327711:GPE327711 GYN327711:GZA327711 HIJ327711:HIW327711 HSF327711:HSS327711 ICB327711:ICO327711 ILX327711:IMK327711 IVT327711:IWG327711 JFP327711:JGC327711 JPL327711:JPY327711 JZH327711:JZU327711 KJD327711:KJQ327711 KSZ327711:KTM327711 LCV327711:LDI327711 LMR327711:LNE327711 LWN327711:LXA327711 MGJ327711:MGW327711 MQF327711:MQS327711 NAB327711:NAO327711 NJX327711:NKK327711 NTT327711:NUG327711 ODP327711:OEC327711 ONL327711:ONY327711 OXH327711:OXU327711 PHD327711:PHQ327711 PQZ327711:PRM327711 QAV327711:QBI327711 QKR327711:QLE327711 QUN327711:QVA327711 REJ327711:REW327711 ROF327711:ROS327711 RYB327711:RYO327711 SHX327711:SIK327711 SRT327711:SSG327711 TBP327711:TCC327711 TLL327711:TLY327711 TVH327711:TVU327711 UFD327711:UFQ327711 UOZ327711:UPM327711 UYV327711:UZI327711 VIR327711:VJE327711 VSN327711:VTA327711 WCJ327711:WCW327711 WMF327711:WMS327711 WWB327711:WWO327711 T393247:AG393247 JP393247:KC393247 TL393247:TY393247 ADH393247:ADU393247 AND393247:ANQ393247 AWZ393247:AXM393247 BGV393247:BHI393247 BQR393247:BRE393247 CAN393247:CBA393247 CKJ393247:CKW393247 CUF393247:CUS393247 DEB393247:DEO393247 DNX393247:DOK393247 DXT393247:DYG393247 EHP393247:EIC393247 ERL393247:ERY393247 FBH393247:FBU393247 FLD393247:FLQ393247 FUZ393247:FVM393247 GEV393247:GFI393247 GOR393247:GPE393247 GYN393247:GZA393247 HIJ393247:HIW393247 HSF393247:HSS393247 ICB393247:ICO393247 ILX393247:IMK393247 IVT393247:IWG393247 JFP393247:JGC393247 JPL393247:JPY393247 JZH393247:JZU393247 KJD393247:KJQ393247 KSZ393247:KTM393247 LCV393247:LDI393247 LMR393247:LNE393247 LWN393247:LXA393247 MGJ393247:MGW393247 MQF393247:MQS393247 NAB393247:NAO393247 NJX393247:NKK393247 NTT393247:NUG393247 ODP393247:OEC393247 ONL393247:ONY393247 OXH393247:OXU393247 PHD393247:PHQ393247 PQZ393247:PRM393247 QAV393247:QBI393247 QKR393247:QLE393247 QUN393247:QVA393247 REJ393247:REW393247 ROF393247:ROS393247 RYB393247:RYO393247 SHX393247:SIK393247 SRT393247:SSG393247 TBP393247:TCC393247 TLL393247:TLY393247 TVH393247:TVU393247 UFD393247:UFQ393247 UOZ393247:UPM393247 UYV393247:UZI393247 VIR393247:VJE393247 VSN393247:VTA393247 WCJ393247:WCW393247 WMF393247:WMS393247 WWB393247:WWO393247 T458783:AG458783 JP458783:KC458783 TL458783:TY458783 ADH458783:ADU458783 AND458783:ANQ458783 AWZ458783:AXM458783 BGV458783:BHI458783 BQR458783:BRE458783 CAN458783:CBA458783 CKJ458783:CKW458783 CUF458783:CUS458783 DEB458783:DEO458783 DNX458783:DOK458783 DXT458783:DYG458783 EHP458783:EIC458783 ERL458783:ERY458783 FBH458783:FBU458783 FLD458783:FLQ458783 FUZ458783:FVM458783 GEV458783:GFI458783 GOR458783:GPE458783 GYN458783:GZA458783 HIJ458783:HIW458783 HSF458783:HSS458783 ICB458783:ICO458783 ILX458783:IMK458783 IVT458783:IWG458783 JFP458783:JGC458783 JPL458783:JPY458783 JZH458783:JZU458783 KJD458783:KJQ458783 KSZ458783:KTM458783 LCV458783:LDI458783 LMR458783:LNE458783 LWN458783:LXA458783 MGJ458783:MGW458783 MQF458783:MQS458783 NAB458783:NAO458783 NJX458783:NKK458783 NTT458783:NUG458783 ODP458783:OEC458783 ONL458783:ONY458783 OXH458783:OXU458783 PHD458783:PHQ458783 PQZ458783:PRM458783 QAV458783:QBI458783 QKR458783:QLE458783 QUN458783:QVA458783 REJ458783:REW458783 ROF458783:ROS458783 RYB458783:RYO458783 SHX458783:SIK458783 SRT458783:SSG458783 TBP458783:TCC458783 TLL458783:TLY458783 TVH458783:TVU458783 UFD458783:UFQ458783 UOZ458783:UPM458783 UYV458783:UZI458783 VIR458783:VJE458783 VSN458783:VTA458783 WCJ458783:WCW458783 WMF458783:WMS458783 WWB458783:WWO458783 T524319:AG524319 JP524319:KC524319 TL524319:TY524319 ADH524319:ADU524319 AND524319:ANQ524319 AWZ524319:AXM524319 BGV524319:BHI524319 BQR524319:BRE524319 CAN524319:CBA524319 CKJ524319:CKW524319 CUF524319:CUS524319 DEB524319:DEO524319 DNX524319:DOK524319 DXT524319:DYG524319 EHP524319:EIC524319 ERL524319:ERY524319 FBH524319:FBU524319 FLD524319:FLQ524319 FUZ524319:FVM524319 GEV524319:GFI524319 GOR524319:GPE524319 GYN524319:GZA524319 HIJ524319:HIW524319 HSF524319:HSS524319 ICB524319:ICO524319 ILX524319:IMK524319 IVT524319:IWG524319 JFP524319:JGC524319 JPL524319:JPY524319 JZH524319:JZU524319 KJD524319:KJQ524319 KSZ524319:KTM524319 LCV524319:LDI524319 LMR524319:LNE524319 LWN524319:LXA524319 MGJ524319:MGW524319 MQF524319:MQS524319 NAB524319:NAO524319 NJX524319:NKK524319 NTT524319:NUG524319 ODP524319:OEC524319 ONL524319:ONY524319 OXH524319:OXU524319 PHD524319:PHQ524319 PQZ524319:PRM524319 QAV524319:QBI524319 QKR524319:QLE524319 QUN524319:QVA524319 REJ524319:REW524319 ROF524319:ROS524319 RYB524319:RYO524319 SHX524319:SIK524319 SRT524319:SSG524319 TBP524319:TCC524319 TLL524319:TLY524319 TVH524319:TVU524319 UFD524319:UFQ524319 UOZ524319:UPM524319 UYV524319:UZI524319 VIR524319:VJE524319 VSN524319:VTA524319 WCJ524319:WCW524319 WMF524319:WMS524319 WWB524319:WWO524319 T589855:AG589855 JP589855:KC589855 TL589855:TY589855 ADH589855:ADU589855 AND589855:ANQ589855 AWZ589855:AXM589855 BGV589855:BHI589855 BQR589855:BRE589855 CAN589855:CBA589855 CKJ589855:CKW589855 CUF589855:CUS589855 DEB589855:DEO589855 DNX589855:DOK589855 DXT589855:DYG589855 EHP589855:EIC589855 ERL589855:ERY589855 FBH589855:FBU589855 FLD589855:FLQ589855 FUZ589855:FVM589855 GEV589855:GFI589855 GOR589855:GPE589855 GYN589855:GZA589855 HIJ589855:HIW589855 HSF589855:HSS589855 ICB589855:ICO589855 ILX589855:IMK589855 IVT589855:IWG589855 JFP589855:JGC589855 JPL589855:JPY589855 JZH589855:JZU589855 KJD589855:KJQ589855 KSZ589855:KTM589855 LCV589855:LDI589855 LMR589855:LNE589855 LWN589855:LXA589855 MGJ589855:MGW589855 MQF589855:MQS589855 NAB589855:NAO589855 NJX589855:NKK589855 NTT589855:NUG589855 ODP589855:OEC589855 ONL589855:ONY589855 OXH589855:OXU589855 PHD589855:PHQ589855 PQZ589855:PRM589855 QAV589855:QBI589855 QKR589855:QLE589855 QUN589855:QVA589855 REJ589855:REW589855 ROF589855:ROS589855 RYB589855:RYO589855 SHX589855:SIK589855 SRT589855:SSG589855 TBP589855:TCC589855 TLL589855:TLY589855 TVH589855:TVU589855 UFD589855:UFQ589855 UOZ589855:UPM589855 UYV589855:UZI589855 VIR589855:VJE589855 VSN589855:VTA589855 WCJ589855:WCW589855 WMF589855:WMS589855 WWB589855:WWO589855 T655391:AG655391 JP655391:KC655391 TL655391:TY655391 ADH655391:ADU655391 AND655391:ANQ655391 AWZ655391:AXM655391 BGV655391:BHI655391 BQR655391:BRE655391 CAN655391:CBA655391 CKJ655391:CKW655391 CUF655391:CUS655391 DEB655391:DEO655391 DNX655391:DOK655391 DXT655391:DYG655391 EHP655391:EIC655391 ERL655391:ERY655391 FBH655391:FBU655391 FLD655391:FLQ655391 FUZ655391:FVM655391 GEV655391:GFI655391 GOR655391:GPE655391 GYN655391:GZA655391 HIJ655391:HIW655391 HSF655391:HSS655391 ICB655391:ICO655391 ILX655391:IMK655391 IVT655391:IWG655391 JFP655391:JGC655391 JPL655391:JPY655391 JZH655391:JZU655391 KJD655391:KJQ655391 KSZ655391:KTM655391 LCV655391:LDI655391 LMR655391:LNE655391 LWN655391:LXA655391 MGJ655391:MGW655391 MQF655391:MQS655391 NAB655391:NAO655391 NJX655391:NKK655391 NTT655391:NUG655391 ODP655391:OEC655391 ONL655391:ONY655391 OXH655391:OXU655391 PHD655391:PHQ655391 PQZ655391:PRM655391 QAV655391:QBI655391 QKR655391:QLE655391 QUN655391:QVA655391 REJ655391:REW655391 ROF655391:ROS655391 RYB655391:RYO655391 SHX655391:SIK655391 SRT655391:SSG655391 TBP655391:TCC655391 TLL655391:TLY655391 TVH655391:TVU655391 UFD655391:UFQ655391 UOZ655391:UPM655391 UYV655391:UZI655391 VIR655391:VJE655391 VSN655391:VTA655391 WCJ655391:WCW655391 WMF655391:WMS655391 WWB655391:WWO655391 T720927:AG720927 JP720927:KC720927 TL720927:TY720927 ADH720927:ADU720927 AND720927:ANQ720927 AWZ720927:AXM720927 BGV720927:BHI720927 BQR720927:BRE720927 CAN720927:CBA720927 CKJ720927:CKW720927 CUF720927:CUS720927 DEB720927:DEO720927 DNX720927:DOK720927 DXT720927:DYG720927 EHP720927:EIC720927 ERL720927:ERY720927 FBH720927:FBU720927 FLD720927:FLQ720927 FUZ720927:FVM720927 GEV720927:GFI720927 GOR720927:GPE720927 GYN720927:GZA720927 HIJ720927:HIW720927 HSF720927:HSS720927 ICB720927:ICO720927 ILX720927:IMK720927 IVT720927:IWG720927 JFP720927:JGC720927 JPL720927:JPY720927 JZH720927:JZU720927 KJD720927:KJQ720927 KSZ720927:KTM720927 LCV720927:LDI720927 LMR720927:LNE720927 LWN720927:LXA720927 MGJ720927:MGW720927 MQF720927:MQS720927 NAB720927:NAO720927 NJX720927:NKK720927 NTT720927:NUG720927 ODP720927:OEC720927 ONL720927:ONY720927 OXH720927:OXU720927 PHD720927:PHQ720927 PQZ720927:PRM720927 QAV720927:QBI720927 QKR720927:QLE720927 QUN720927:QVA720927 REJ720927:REW720927 ROF720927:ROS720927 RYB720927:RYO720927 SHX720927:SIK720927 SRT720927:SSG720927 TBP720927:TCC720927 TLL720927:TLY720927 TVH720927:TVU720927 UFD720927:UFQ720927 UOZ720927:UPM720927 UYV720927:UZI720927 VIR720927:VJE720927 VSN720927:VTA720927 WCJ720927:WCW720927 WMF720927:WMS720927 WWB720927:WWO720927 T786463:AG786463 JP786463:KC786463 TL786463:TY786463 ADH786463:ADU786463 AND786463:ANQ786463 AWZ786463:AXM786463 BGV786463:BHI786463 BQR786463:BRE786463 CAN786463:CBA786463 CKJ786463:CKW786463 CUF786463:CUS786463 DEB786463:DEO786463 DNX786463:DOK786463 DXT786463:DYG786463 EHP786463:EIC786463 ERL786463:ERY786463 FBH786463:FBU786463 FLD786463:FLQ786463 FUZ786463:FVM786463 GEV786463:GFI786463 GOR786463:GPE786463 GYN786463:GZA786463 HIJ786463:HIW786463 HSF786463:HSS786463 ICB786463:ICO786463 ILX786463:IMK786463 IVT786463:IWG786463 JFP786463:JGC786463 JPL786463:JPY786463 JZH786463:JZU786463 KJD786463:KJQ786463 KSZ786463:KTM786463 LCV786463:LDI786463 LMR786463:LNE786463 LWN786463:LXA786463 MGJ786463:MGW786463 MQF786463:MQS786463 NAB786463:NAO786463 NJX786463:NKK786463 NTT786463:NUG786463 ODP786463:OEC786463 ONL786463:ONY786463 OXH786463:OXU786463 PHD786463:PHQ786463 PQZ786463:PRM786463 QAV786463:QBI786463 QKR786463:QLE786463 QUN786463:QVA786463 REJ786463:REW786463 ROF786463:ROS786463 RYB786463:RYO786463 SHX786463:SIK786463 SRT786463:SSG786463 TBP786463:TCC786463 TLL786463:TLY786463 TVH786463:TVU786463 UFD786463:UFQ786463 UOZ786463:UPM786463 UYV786463:UZI786463 VIR786463:VJE786463 VSN786463:VTA786463 WCJ786463:WCW786463 WMF786463:WMS786463 WWB786463:WWO786463 T851999:AG851999 JP851999:KC851999 TL851999:TY851999 ADH851999:ADU851999 AND851999:ANQ851999 AWZ851999:AXM851999 BGV851999:BHI851999 BQR851999:BRE851999 CAN851999:CBA851999 CKJ851999:CKW851999 CUF851999:CUS851999 DEB851999:DEO851999 DNX851999:DOK851999 DXT851999:DYG851999 EHP851999:EIC851999 ERL851999:ERY851999 FBH851999:FBU851999 FLD851999:FLQ851999 FUZ851999:FVM851999 GEV851999:GFI851999 GOR851999:GPE851999 GYN851999:GZA851999 HIJ851999:HIW851999 HSF851999:HSS851999 ICB851999:ICO851999 ILX851999:IMK851999 IVT851999:IWG851999 JFP851999:JGC851999 JPL851999:JPY851999 JZH851999:JZU851999 KJD851999:KJQ851999 KSZ851999:KTM851999 LCV851999:LDI851999 LMR851999:LNE851999 LWN851999:LXA851999 MGJ851999:MGW851999 MQF851999:MQS851999 NAB851999:NAO851999 NJX851999:NKK851999 NTT851999:NUG851999 ODP851999:OEC851999 ONL851999:ONY851999 OXH851999:OXU851999 PHD851999:PHQ851999 PQZ851999:PRM851999 QAV851999:QBI851999 QKR851999:QLE851999 QUN851999:QVA851999 REJ851999:REW851999 ROF851999:ROS851999 RYB851999:RYO851999 SHX851999:SIK851999 SRT851999:SSG851999 TBP851999:TCC851999 TLL851999:TLY851999 TVH851999:TVU851999 UFD851999:UFQ851999 UOZ851999:UPM851999 UYV851999:UZI851999 VIR851999:VJE851999 VSN851999:VTA851999 WCJ851999:WCW851999 WMF851999:WMS851999 WWB851999:WWO851999 T917535:AG917535 JP917535:KC917535 TL917535:TY917535 ADH917535:ADU917535 AND917535:ANQ917535 AWZ917535:AXM917535 BGV917535:BHI917535 BQR917535:BRE917535 CAN917535:CBA917535 CKJ917535:CKW917535 CUF917535:CUS917535 DEB917535:DEO917535 DNX917535:DOK917535 DXT917535:DYG917535 EHP917535:EIC917535 ERL917535:ERY917535 FBH917535:FBU917535 FLD917535:FLQ917535 FUZ917535:FVM917535 GEV917535:GFI917535 GOR917535:GPE917535 GYN917535:GZA917535 HIJ917535:HIW917535 HSF917535:HSS917535 ICB917535:ICO917535 ILX917535:IMK917535 IVT917535:IWG917535 JFP917535:JGC917535 JPL917535:JPY917535 JZH917535:JZU917535 KJD917535:KJQ917535 KSZ917535:KTM917535 LCV917535:LDI917535 LMR917535:LNE917535 LWN917535:LXA917535 MGJ917535:MGW917535 MQF917535:MQS917535 NAB917535:NAO917535 NJX917535:NKK917535 NTT917535:NUG917535 ODP917535:OEC917535 ONL917535:ONY917535 OXH917535:OXU917535 PHD917535:PHQ917535 PQZ917535:PRM917535 QAV917535:QBI917535 QKR917535:QLE917535 QUN917535:QVA917535 REJ917535:REW917535 ROF917535:ROS917535 RYB917535:RYO917535 SHX917535:SIK917535 SRT917535:SSG917535 TBP917535:TCC917535 TLL917535:TLY917535 TVH917535:TVU917535 UFD917535:UFQ917535 UOZ917535:UPM917535 UYV917535:UZI917535 VIR917535:VJE917535 VSN917535:VTA917535 WCJ917535:WCW917535 WMF917535:WMS917535 WWB917535:WWO917535 T983071:AG983071 JP983071:KC983071 TL983071:TY983071 ADH983071:ADU983071 AND983071:ANQ983071 AWZ983071:AXM983071 BGV983071:BHI983071 BQR983071:BRE983071 CAN983071:CBA983071 CKJ983071:CKW983071 CUF983071:CUS983071 DEB983071:DEO983071 DNX983071:DOK983071 DXT983071:DYG983071 EHP983071:EIC983071 ERL983071:ERY983071 FBH983071:FBU983071 FLD983071:FLQ983071 FUZ983071:FVM983071 GEV983071:GFI983071 GOR983071:GPE983071 GYN983071:GZA983071 HIJ983071:HIW983071 HSF983071:HSS983071 ICB983071:ICO983071 ILX983071:IMK983071 IVT983071:IWG983071 JFP983071:JGC983071 JPL983071:JPY983071 JZH983071:JZU983071 KJD983071:KJQ983071 KSZ983071:KTM983071 LCV983071:LDI983071 LMR983071:LNE983071 LWN983071:LXA983071 MGJ983071:MGW983071 MQF983071:MQS983071 NAB983071:NAO983071 NJX983071:NKK983071 NTT983071:NUG983071 ODP983071:OEC983071 ONL983071:ONY983071 OXH983071:OXU983071 PHD983071:PHQ983071 PQZ983071:PRM983071 QAV983071:QBI983071 QKR983071:QLE983071 QUN983071:QVA983071 REJ983071:REW983071 ROF983071:ROS983071 RYB983071:RYO983071 SHX983071:SIK983071 SRT983071:SSG983071 TBP983071:TCC983071 TLL983071:TLY983071 TVH983071:TVU983071 UFD983071:UFQ983071 UOZ983071:UPM983071 UYV983071:UZI983071 VIR983071:VJE983071 VSN983071:VTA983071 WCJ983071:WCW983071 WMF983071:WMS983071 WWB983071:WWO983071 A20:A23 IW21:IW23 SS21:SS23 ACO21:ACO23 AMK21:AMK23 AWG21:AWG23 BGC21:BGC23 BPY21:BPY23 BZU21:BZU23 CJQ21:CJQ23 CTM21:CTM23 DDI21:DDI23 DNE21:DNE23 DXA21:DXA23 EGW21:EGW23 EQS21:EQS23 FAO21:FAO23 FKK21:FKK23 FUG21:FUG23 GEC21:GEC23 GNY21:GNY23 GXU21:GXU23 HHQ21:HHQ23 HRM21:HRM23 IBI21:IBI23 ILE21:ILE23 IVA21:IVA23 JEW21:JEW23 JOS21:JOS23 JYO21:JYO23 KIK21:KIK23 KSG21:KSG23 LCC21:LCC23 LLY21:LLY23 LVU21:LVU23 MFQ21:MFQ23 MPM21:MPM23 MZI21:MZI23 NJE21:NJE23 NTA21:NTA23 OCW21:OCW23 OMS21:OMS23 OWO21:OWO23 PGK21:PGK23 PQG21:PQG23 QAC21:QAC23 QJY21:QJY23 QTU21:QTU23 RDQ21:RDQ23 RNM21:RNM23 RXI21:RXI23 SHE21:SHE23 SRA21:SRA23 TAW21:TAW23 TKS21:TKS23 TUO21:TUO23 UEK21:UEK23 UOG21:UOG23 UYC21:UYC23 VHY21:VHY23 VRU21:VRU23 WBQ21:WBQ23 WLM21:WLM23 WVI21:WVI23 A65557:A65559 IW65557:IW65559 SS65557:SS65559 ACO65557:ACO65559 AMK65557:AMK65559 AWG65557:AWG65559 BGC65557:BGC65559 BPY65557:BPY65559 BZU65557:BZU65559 CJQ65557:CJQ65559 CTM65557:CTM65559 DDI65557:DDI65559 DNE65557:DNE65559 DXA65557:DXA65559 EGW65557:EGW65559 EQS65557:EQS65559 FAO65557:FAO65559 FKK65557:FKK65559 FUG65557:FUG65559 GEC65557:GEC65559 GNY65557:GNY65559 GXU65557:GXU65559 HHQ65557:HHQ65559 HRM65557:HRM65559 IBI65557:IBI65559 ILE65557:ILE65559 IVA65557:IVA65559 JEW65557:JEW65559 JOS65557:JOS65559 JYO65557:JYO65559 KIK65557:KIK65559 KSG65557:KSG65559 LCC65557:LCC65559 LLY65557:LLY65559 LVU65557:LVU65559 MFQ65557:MFQ65559 MPM65557:MPM65559 MZI65557:MZI65559 NJE65557:NJE65559 NTA65557:NTA65559 OCW65557:OCW65559 OMS65557:OMS65559 OWO65557:OWO65559 PGK65557:PGK65559 PQG65557:PQG65559 QAC65557:QAC65559 QJY65557:QJY65559 QTU65557:QTU65559 RDQ65557:RDQ65559 RNM65557:RNM65559 RXI65557:RXI65559 SHE65557:SHE65559 SRA65557:SRA65559 TAW65557:TAW65559 TKS65557:TKS65559 TUO65557:TUO65559 UEK65557:UEK65559 UOG65557:UOG65559 UYC65557:UYC65559 VHY65557:VHY65559 VRU65557:VRU65559 WBQ65557:WBQ65559 WLM65557:WLM65559 WVI65557:WVI65559 A131093:A131095 IW131093:IW131095 SS131093:SS131095 ACO131093:ACO131095 AMK131093:AMK131095 AWG131093:AWG131095 BGC131093:BGC131095 BPY131093:BPY131095 BZU131093:BZU131095 CJQ131093:CJQ131095 CTM131093:CTM131095 DDI131093:DDI131095 DNE131093:DNE131095 DXA131093:DXA131095 EGW131093:EGW131095 EQS131093:EQS131095 FAO131093:FAO131095 FKK131093:FKK131095 FUG131093:FUG131095 GEC131093:GEC131095 GNY131093:GNY131095 GXU131093:GXU131095 HHQ131093:HHQ131095 HRM131093:HRM131095 IBI131093:IBI131095 ILE131093:ILE131095 IVA131093:IVA131095 JEW131093:JEW131095 JOS131093:JOS131095 JYO131093:JYO131095 KIK131093:KIK131095 KSG131093:KSG131095 LCC131093:LCC131095 LLY131093:LLY131095 LVU131093:LVU131095 MFQ131093:MFQ131095 MPM131093:MPM131095 MZI131093:MZI131095 NJE131093:NJE131095 NTA131093:NTA131095 OCW131093:OCW131095 OMS131093:OMS131095 OWO131093:OWO131095 PGK131093:PGK131095 PQG131093:PQG131095 QAC131093:QAC131095 QJY131093:QJY131095 QTU131093:QTU131095 RDQ131093:RDQ131095 RNM131093:RNM131095 RXI131093:RXI131095 SHE131093:SHE131095 SRA131093:SRA131095 TAW131093:TAW131095 TKS131093:TKS131095 TUO131093:TUO131095 UEK131093:UEK131095 UOG131093:UOG131095 UYC131093:UYC131095 VHY131093:VHY131095 VRU131093:VRU131095 WBQ131093:WBQ131095 WLM131093:WLM131095 WVI131093:WVI131095 A196629:A196631 IW196629:IW196631 SS196629:SS196631 ACO196629:ACO196631 AMK196629:AMK196631 AWG196629:AWG196631 BGC196629:BGC196631 BPY196629:BPY196631 BZU196629:BZU196631 CJQ196629:CJQ196631 CTM196629:CTM196631 DDI196629:DDI196631 DNE196629:DNE196631 DXA196629:DXA196631 EGW196629:EGW196631 EQS196629:EQS196631 FAO196629:FAO196631 FKK196629:FKK196631 FUG196629:FUG196631 GEC196629:GEC196631 GNY196629:GNY196631 GXU196629:GXU196631 HHQ196629:HHQ196631 HRM196629:HRM196631 IBI196629:IBI196631 ILE196629:ILE196631 IVA196629:IVA196631 JEW196629:JEW196631 JOS196629:JOS196631 JYO196629:JYO196631 KIK196629:KIK196631 KSG196629:KSG196631 LCC196629:LCC196631 LLY196629:LLY196631 LVU196629:LVU196631 MFQ196629:MFQ196631 MPM196629:MPM196631 MZI196629:MZI196631 NJE196629:NJE196631 NTA196629:NTA196631 OCW196629:OCW196631 OMS196629:OMS196631 OWO196629:OWO196631 PGK196629:PGK196631 PQG196629:PQG196631 QAC196629:QAC196631 QJY196629:QJY196631 QTU196629:QTU196631 RDQ196629:RDQ196631 RNM196629:RNM196631 RXI196629:RXI196631 SHE196629:SHE196631 SRA196629:SRA196631 TAW196629:TAW196631 TKS196629:TKS196631 TUO196629:TUO196631 UEK196629:UEK196631 UOG196629:UOG196631 UYC196629:UYC196631 VHY196629:VHY196631 VRU196629:VRU196631 WBQ196629:WBQ196631 WLM196629:WLM196631 WVI196629:WVI196631 A262165:A262167 IW262165:IW262167 SS262165:SS262167 ACO262165:ACO262167 AMK262165:AMK262167 AWG262165:AWG262167 BGC262165:BGC262167 BPY262165:BPY262167 BZU262165:BZU262167 CJQ262165:CJQ262167 CTM262165:CTM262167 DDI262165:DDI262167 DNE262165:DNE262167 DXA262165:DXA262167 EGW262165:EGW262167 EQS262165:EQS262167 FAO262165:FAO262167 FKK262165:FKK262167 FUG262165:FUG262167 GEC262165:GEC262167 GNY262165:GNY262167 GXU262165:GXU262167 HHQ262165:HHQ262167 HRM262165:HRM262167 IBI262165:IBI262167 ILE262165:ILE262167 IVA262165:IVA262167 JEW262165:JEW262167 JOS262165:JOS262167 JYO262165:JYO262167 KIK262165:KIK262167 KSG262165:KSG262167 LCC262165:LCC262167 LLY262165:LLY262167 LVU262165:LVU262167 MFQ262165:MFQ262167 MPM262165:MPM262167 MZI262165:MZI262167 NJE262165:NJE262167 NTA262165:NTA262167 OCW262165:OCW262167 OMS262165:OMS262167 OWO262165:OWO262167 PGK262165:PGK262167 PQG262165:PQG262167 QAC262165:QAC262167 QJY262165:QJY262167 QTU262165:QTU262167 RDQ262165:RDQ262167 RNM262165:RNM262167 RXI262165:RXI262167 SHE262165:SHE262167 SRA262165:SRA262167 TAW262165:TAW262167 TKS262165:TKS262167 TUO262165:TUO262167 UEK262165:UEK262167 UOG262165:UOG262167 UYC262165:UYC262167 VHY262165:VHY262167 VRU262165:VRU262167 WBQ262165:WBQ262167 WLM262165:WLM262167 WVI262165:WVI262167 A327701:A327703 IW327701:IW327703 SS327701:SS327703 ACO327701:ACO327703 AMK327701:AMK327703 AWG327701:AWG327703 BGC327701:BGC327703 BPY327701:BPY327703 BZU327701:BZU327703 CJQ327701:CJQ327703 CTM327701:CTM327703 DDI327701:DDI327703 DNE327701:DNE327703 DXA327701:DXA327703 EGW327701:EGW327703 EQS327701:EQS327703 FAO327701:FAO327703 FKK327701:FKK327703 FUG327701:FUG327703 GEC327701:GEC327703 GNY327701:GNY327703 GXU327701:GXU327703 HHQ327701:HHQ327703 HRM327701:HRM327703 IBI327701:IBI327703 ILE327701:ILE327703 IVA327701:IVA327703 JEW327701:JEW327703 JOS327701:JOS327703 JYO327701:JYO327703 KIK327701:KIK327703 KSG327701:KSG327703 LCC327701:LCC327703 LLY327701:LLY327703 LVU327701:LVU327703 MFQ327701:MFQ327703 MPM327701:MPM327703 MZI327701:MZI327703 NJE327701:NJE327703 NTA327701:NTA327703 OCW327701:OCW327703 OMS327701:OMS327703 OWO327701:OWO327703 PGK327701:PGK327703 PQG327701:PQG327703 QAC327701:QAC327703 QJY327701:QJY327703 QTU327701:QTU327703 RDQ327701:RDQ327703 RNM327701:RNM327703 RXI327701:RXI327703 SHE327701:SHE327703 SRA327701:SRA327703 TAW327701:TAW327703 TKS327701:TKS327703 TUO327701:TUO327703 UEK327701:UEK327703 UOG327701:UOG327703 UYC327701:UYC327703 VHY327701:VHY327703 VRU327701:VRU327703 WBQ327701:WBQ327703 WLM327701:WLM327703 WVI327701:WVI327703 A393237:A393239 IW393237:IW393239 SS393237:SS393239 ACO393237:ACO393239 AMK393237:AMK393239 AWG393237:AWG393239 BGC393237:BGC393239 BPY393237:BPY393239 BZU393237:BZU393239 CJQ393237:CJQ393239 CTM393237:CTM393239 DDI393237:DDI393239 DNE393237:DNE393239 DXA393237:DXA393239 EGW393237:EGW393239 EQS393237:EQS393239 FAO393237:FAO393239 FKK393237:FKK393239 FUG393237:FUG393239 GEC393237:GEC393239 GNY393237:GNY393239 GXU393237:GXU393239 HHQ393237:HHQ393239 HRM393237:HRM393239 IBI393237:IBI393239 ILE393237:ILE393239 IVA393237:IVA393239 JEW393237:JEW393239 JOS393237:JOS393239 JYO393237:JYO393239 KIK393237:KIK393239 KSG393237:KSG393239 LCC393237:LCC393239 LLY393237:LLY393239 LVU393237:LVU393239 MFQ393237:MFQ393239 MPM393237:MPM393239 MZI393237:MZI393239 NJE393237:NJE393239 NTA393237:NTA393239 OCW393237:OCW393239 OMS393237:OMS393239 OWO393237:OWO393239 PGK393237:PGK393239 PQG393237:PQG393239 QAC393237:QAC393239 QJY393237:QJY393239 QTU393237:QTU393239 RDQ393237:RDQ393239 RNM393237:RNM393239 RXI393237:RXI393239 SHE393237:SHE393239 SRA393237:SRA393239 TAW393237:TAW393239 TKS393237:TKS393239 TUO393237:TUO393239 UEK393237:UEK393239 UOG393237:UOG393239 UYC393237:UYC393239 VHY393237:VHY393239 VRU393237:VRU393239 WBQ393237:WBQ393239 WLM393237:WLM393239 WVI393237:WVI393239 A458773:A458775 IW458773:IW458775 SS458773:SS458775 ACO458773:ACO458775 AMK458773:AMK458775 AWG458773:AWG458775 BGC458773:BGC458775 BPY458773:BPY458775 BZU458773:BZU458775 CJQ458773:CJQ458775 CTM458773:CTM458775 DDI458773:DDI458775 DNE458773:DNE458775 DXA458773:DXA458775 EGW458773:EGW458775 EQS458773:EQS458775 FAO458773:FAO458775 FKK458773:FKK458775 FUG458773:FUG458775 GEC458773:GEC458775 GNY458773:GNY458775 GXU458773:GXU458775 HHQ458773:HHQ458775 HRM458773:HRM458775 IBI458773:IBI458775 ILE458773:ILE458775 IVA458773:IVA458775 JEW458773:JEW458775 JOS458773:JOS458775 JYO458773:JYO458775 KIK458773:KIK458775 KSG458773:KSG458775 LCC458773:LCC458775 LLY458773:LLY458775 LVU458773:LVU458775 MFQ458773:MFQ458775 MPM458773:MPM458775 MZI458773:MZI458775 NJE458773:NJE458775 NTA458773:NTA458775 OCW458773:OCW458775 OMS458773:OMS458775 OWO458773:OWO458775 PGK458773:PGK458775 PQG458773:PQG458775 QAC458773:QAC458775 QJY458773:QJY458775 QTU458773:QTU458775 RDQ458773:RDQ458775 RNM458773:RNM458775 RXI458773:RXI458775 SHE458773:SHE458775 SRA458773:SRA458775 TAW458773:TAW458775 TKS458773:TKS458775 TUO458773:TUO458775 UEK458773:UEK458775 UOG458773:UOG458775 UYC458773:UYC458775 VHY458773:VHY458775 VRU458773:VRU458775 WBQ458773:WBQ458775 WLM458773:WLM458775 WVI458773:WVI458775 A524309:A524311 IW524309:IW524311 SS524309:SS524311 ACO524309:ACO524311 AMK524309:AMK524311 AWG524309:AWG524311 BGC524309:BGC524311 BPY524309:BPY524311 BZU524309:BZU524311 CJQ524309:CJQ524311 CTM524309:CTM524311 DDI524309:DDI524311 DNE524309:DNE524311 DXA524309:DXA524311 EGW524309:EGW524311 EQS524309:EQS524311 FAO524309:FAO524311 FKK524309:FKK524311 FUG524309:FUG524311 GEC524309:GEC524311 GNY524309:GNY524311 GXU524309:GXU524311 HHQ524309:HHQ524311 HRM524309:HRM524311 IBI524309:IBI524311 ILE524309:ILE524311 IVA524309:IVA524311 JEW524309:JEW524311 JOS524309:JOS524311 JYO524309:JYO524311 KIK524309:KIK524311 KSG524309:KSG524311 LCC524309:LCC524311 LLY524309:LLY524311 LVU524309:LVU524311 MFQ524309:MFQ524311 MPM524309:MPM524311 MZI524309:MZI524311 NJE524309:NJE524311 NTA524309:NTA524311 OCW524309:OCW524311 OMS524309:OMS524311 OWO524309:OWO524311 PGK524309:PGK524311 PQG524309:PQG524311 QAC524309:QAC524311 QJY524309:QJY524311 QTU524309:QTU524311 RDQ524309:RDQ524311 RNM524309:RNM524311 RXI524309:RXI524311 SHE524309:SHE524311 SRA524309:SRA524311 TAW524309:TAW524311 TKS524309:TKS524311 TUO524309:TUO524311 UEK524309:UEK524311 UOG524309:UOG524311 UYC524309:UYC524311 VHY524309:VHY524311 VRU524309:VRU524311 WBQ524309:WBQ524311 WLM524309:WLM524311 WVI524309:WVI524311 A589845:A589847 IW589845:IW589847 SS589845:SS589847 ACO589845:ACO589847 AMK589845:AMK589847 AWG589845:AWG589847 BGC589845:BGC589847 BPY589845:BPY589847 BZU589845:BZU589847 CJQ589845:CJQ589847 CTM589845:CTM589847 DDI589845:DDI589847 DNE589845:DNE589847 DXA589845:DXA589847 EGW589845:EGW589847 EQS589845:EQS589847 FAO589845:FAO589847 FKK589845:FKK589847 FUG589845:FUG589847 GEC589845:GEC589847 GNY589845:GNY589847 GXU589845:GXU589847 HHQ589845:HHQ589847 HRM589845:HRM589847 IBI589845:IBI589847 ILE589845:ILE589847 IVA589845:IVA589847 JEW589845:JEW589847 JOS589845:JOS589847 JYO589845:JYO589847 KIK589845:KIK589847 KSG589845:KSG589847 LCC589845:LCC589847 LLY589845:LLY589847 LVU589845:LVU589847 MFQ589845:MFQ589847 MPM589845:MPM589847 MZI589845:MZI589847 NJE589845:NJE589847 NTA589845:NTA589847 OCW589845:OCW589847 OMS589845:OMS589847 OWO589845:OWO589847 PGK589845:PGK589847 PQG589845:PQG589847 QAC589845:QAC589847 QJY589845:QJY589847 QTU589845:QTU589847 RDQ589845:RDQ589847 RNM589845:RNM589847 RXI589845:RXI589847 SHE589845:SHE589847 SRA589845:SRA589847 TAW589845:TAW589847 TKS589845:TKS589847 TUO589845:TUO589847 UEK589845:UEK589847 UOG589845:UOG589847 UYC589845:UYC589847 VHY589845:VHY589847 VRU589845:VRU589847 WBQ589845:WBQ589847 WLM589845:WLM589847 WVI589845:WVI589847 A655381:A655383 IW655381:IW655383 SS655381:SS655383 ACO655381:ACO655383 AMK655381:AMK655383 AWG655381:AWG655383 BGC655381:BGC655383 BPY655381:BPY655383 BZU655381:BZU655383 CJQ655381:CJQ655383 CTM655381:CTM655383 DDI655381:DDI655383 DNE655381:DNE655383 DXA655381:DXA655383 EGW655381:EGW655383 EQS655381:EQS655383 FAO655381:FAO655383 FKK655381:FKK655383 FUG655381:FUG655383 GEC655381:GEC655383 GNY655381:GNY655383 GXU655381:GXU655383 HHQ655381:HHQ655383 HRM655381:HRM655383 IBI655381:IBI655383 ILE655381:ILE655383 IVA655381:IVA655383 JEW655381:JEW655383 JOS655381:JOS655383 JYO655381:JYO655383 KIK655381:KIK655383 KSG655381:KSG655383 LCC655381:LCC655383 LLY655381:LLY655383 LVU655381:LVU655383 MFQ655381:MFQ655383 MPM655381:MPM655383 MZI655381:MZI655383 NJE655381:NJE655383 NTA655381:NTA655383 OCW655381:OCW655383 OMS655381:OMS655383 OWO655381:OWO655383 PGK655381:PGK655383 PQG655381:PQG655383 QAC655381:QAC655383 QJY655381:QJY655383 QTU655381:QTU655383 RDQ655381:RDQ655383 RNM655381:RNM655383 RXI655381:RXI655383 SHE655381:SHE655383 SRA655381:SRA655383 TAW655381:TAW655383 TKS655381:TKS655383 TUO655381:TUO655383 UEK655381:UEK655383 UOG655381:UOG655383 UYC655381:UYC655383 VHY655381:VHY655383 VRU655381:VRU655383 WBQ655381:WBQ655383 WLM655381:WLM655383 WVI655381:WVI655383 A720917:A720919 IW720917:IW720919 SS720917:SS720919 ACO720917:ACO720919 AMK720917:AMK720919 AWG720917:AWG720919 BGC720917:BGC720919 BPY720917:BPY720919 BZU720917:BZU720919 CJQ720917:CJQ720919 CTM720917:CTM720919 DDI720917:DDI720919 DNE720917:DNE720919 DXA720917:DXA720919 EGW720917:EGW720919 EQS720917:EQS720919 FAO720917:FAO720919 FKK720917:FKK720919 FUG720917:FUG720919 GEC720917:GEC720919 GNY720917:GNY720919 GXU720917:GXU720919 HHQ720917:HHQ720919 HRM720917:HRM720919 IBI720917:IBI720919 ILE720917:ILE720919 IVA720917:IVA720919 JEW720917:JEW720919 JOS720917:JOS720919 JYO720917:JYO720919 KIK720917:KIK720919 KSG720917:KSG720919 LCC720917:LCC720919 LLY720917:LLY720919 LVU720917:LVU720919 MFQ720917:MFQ720919 MPM720917:MPM720919 MZI720917:MZI720919 NJE720917:NJE720919 NTA720917:NTA720919 OCW720917:OCW720919 OMS720917:OMS720919 OWO720917:OWO720919 PGK720917:PGK720919 PQG720917:PQG720919 QAC720917:QAC720919 QJY720917:QJY720919 QTU720917:QTU720919 RDQ720917:RDQ720919 RNM720917:RNM720919 RXI720917:RXI720919 SHE720917:SHE720919 SRA720917:SRA720919 TAW720917:TAW720919 TKS720917:TKS720919 TUO720917:TUO720919 UEK720917:UEK720919 UOG720917:UOG720919 UYC720917:UYC720919 VHY720917:VHY720919 VRU720917:VRU720919 WBQ720917:WBQ720919 WLM720917:WLM720919 WVI720917:WVI720919 A786453:A786455 IW786453:IW786455 SS786453:SS786455 ACO786453:ACO786455 AMK786453:AMK786455 AWG786453:AWG786455 BGC786453:BGC786455 BPY786453:BPY786455 BZU786453:BZU786455 CJQ786453:CJQ786455 CTM786453:CTM786455 DDI786453:DDI786455 DNE786453:DNE786455 DXA786453:DXA786455 EGW786453:EGW786455 EQS786453:EQS786455 FAO786453:FAO786455 FKK786453:FKK786455 FUG786453:FUG786455 GEC786453:GEC786455 GNY786453:GNY786455 GXU786453:GXU786455 HHQ786453:HHQ786455 HRM786453:HRM786455 IBI786453:IBI786455 ILE786453:ILE786455 IVA786453:IVA786455 JEW786453:JEW786455 JOS786453:JOS786455 JYO786453:JYO786455 KIK786453:KIK786455 KSG786453:KSG786455 LCC786453:LCC786455 LLY786453:LLY786455 LVU786453:LVU786455 MFQ786453:MFQ786455 MPM786453:MPM786455 MZI786453:MZI786455 NJE786453:NJE786455 NTA786453:NTA786455 OCW786453:OCW786455 OMS786453:OMS786455 OWO786453:OWO786455 PGK786453:PGK786455 PQG786453:PQG786455 QAC786453:QAC786455 QJY786453:QJY786455 QTU786453:QTU786455 RDQ786453:RDQ786455 RNM786453:RNM786455 RXI786453:RXI786455 SHE786453:SHE786455 SRA786453:SRA786455 TAW786453:TAW786455 TKS786453:TKS786455 TUO786453:TUO786455 UEK786453:UEK786455 UOG786453:UOG786455 UYC786453:UYC786455 VHY786453:VHY786455 VRU786453:VRU786455 WBQ786453:WBQ786455 WLM786453:WLM786455 WVI786453:WVI786455 A851989:A851991 IW851989:IW851991 SS851989:SS851991 ACO851989:ACO851991 AMK851989:AMK851991 AWG851989:AWG851991 BGC851989:BGC851991 BPY851989:BPY851991 BZU851989:BZU851991 CJQ851989:CJQ851991 CTM851989:CTM851991 DDI851989:DDI851991 DNE851989:DNE851991 DXA851989:DXA851991 EGW851989:EGW851991 EQS851989:EQS851991 FAO851989:FAO851991 FKK851989:FKK851991 FUG851989:FUG851991 GEC851989:GEC851991 GNY851989:GNY851991 GXU851989:GXU851991 HHQ851989:HHQ851991 HRM851989:HRM851991 IBI851989:IBI851991 ILE851989:ILE851991 IVA851989:IVA851991 JEW851989:JEW851991 JOS851989:JOS851991 JYO851989:JYO851991 KIK851989:KIK851991 KSG851989:KSG851991 LCC851989:LCC851991 LLY851989:LLY851991 LVU851989:LVU851991 MFQ851989:MFQ851991 MPM851989:MPM851991 MZI851989:MZI851991 NJE851989:NJE851991 NTA851989:NTA851991 OCW851989:OCW851991 OMS851989:OMS851991 OWO851989:OWO851991 PGK851989:PGK851991 PQG851989:PQG851991 QAC851989:QAC851991 QJY851989:QJY851991 QTU851989:QTU851991 RDQ851989:RDQ851991 RNM851989:RNM851991 RXI851989:RXI851991 SHE851989:SHE851991 SRA851989:SRA851991 TAW851989:TAW851991 TKS851989:TKS851991 TUO851989:TUO851991 UEK851989:UEK851991 UOG851989:UOG851991 UYC851989:UYC851991 VHY851989:VHY851991 VRU851989:VRU851991 WBQ851989:WBQ851991 WLM851989:WLM851991 WVI851989:WVI851991 A917525:A917527 IW917525:IW917527 SS917525:SS917527 ACO917525:ACO917527 AMK917525:AMK917527 AWG917525:AWG917527 BGC917525:BGC917527 BPY917525:BPY917527 BZU917525:BZU917527 CJQ917525:CJQ917527 CTM917525:CTM917527 DDI917525:DDI917527 DNE917525:DNE917527 DXA917525:DXA917527 EGW917525:EGW917527 EQS917525:EQS917527 FAO917525:FAO917527 FKK917525:FKK917527 FUG917525:FUG917527 GEC917525:GEC917527 GNY917525:GNY917527 GXU917525:GXU917527 HHQ917525:HHQ917527 HRM917525:HRM917527 IBI917525:IBI917527 ILE917525:ILE917527 IVA917525:IVA917527 JEW917525:JEW917527 JOS917525:JOS917527 JYO917525:JYO917527 KIK917525:KIK917527 KSG917525:KSG917527 LCC917525:LCC917527 LLY917525:LLY917527 LVU917525:LVU917527 MFQ917525:MFQ917527 MPM917525:MPM917527 MZI917525:MZI917527 NJE917525:NJE917527 NTA917525:NTA917527 OCW917525:OCW917527 OMS917525:OMS917527 OWO917525:OWO917527 PGK917525:PGK917527 PQG917525:PQG917527 QAC917525:QAC917527 QJY917525:QJY917527 QTU917525:QTU917527 RDQ917525:RDQ917527 RNM917525:RNM917527 RXI917525:RXI917527 SHE917525:SHE917527 SRA917525:SRA917527 TAW917525:TAW917527 TKS917525:TKS917527 TUO917525:TUO917527 UEK917525:UEK917527 UOG917525:UOG917527 UYC917525:UYC917527 VHY917525:VHY917527 VRU917525:VRU917527 WBQ917525:WBQ917527 WLM917525:WLM917527 WVI917525:WVI917527 A983061:A983063 IW983061:IW983063 SS983061:SS983063 ACO983061:ACO983063 AMK983061:AMK983063 AWG983061:AWG983063 BGC983061:BGC983063 BPY983061:BPY983063 BZU983061:BZU983063 CJQ983061:CJQ983063 CTM983061:CTM983063 DDI983061:DDI983063 DNE983061:DNE983063 DXA983061:DXA983063 EGW983061:EGW983063 EQS983061:EQS983063 FAO983061:FAO983063 FKK983061:FKK983063 FUG983061:FUG983063 GEC983061:GEC983063 GNY983061:GNY983063 GXU983061:GXU983063 HHQ983061:HHQ983063 HRM983061:HRM983063 IBI983061:IBI983063 ILE983061:ILE983063 IVA983061:IVA983063 JEW983061:JEW983063 JOS983061:JOS983063 JYO983061:JYO983063 KIK983061:KIK983063 KSG983061:KSG983063 LCC983061:LCC983063 LLY983061:LLY983063 LVU983061:LVU983063 MFQ983061:MFQ983063 MPM983061:MPM983063 MZI983061:MZI983063 NJE983061:NJE983063 NTA983061:NTA983063 OCW983061:OCW983063 OMS983061:OMS983063 OWO983061:OWO983063 PGK983061:PGK983063 PQG983061:PQG983063 QAC983061:QAC983063 QJY983061:QJY983063 QTU983061:QTU983063 RDQ983061:RDQ983063 RNM983061:RNM983063 RXI983061:RXI983063 SHE983061:SHE983063 SRA983061:SRA983063 TAW983061:TAW983063 TKS983061:TKS983063 TUO983061:TUO983063 UEK983061:UEK983063 UOG983061:UOG983063 UYC983061:UYC983063 VHY983061:VHY983063 VRU983061:VRU983063 WBQ983061:WBQ983063 WLM983061:WLM983063 WVI983061:WVI983063 AA22:AG22 JW22:KC22 TS22:TY22 ADO22:ADU22 ANK22:ANQ22 AXG22:AXM22 BHC22:BHI22 BQY22:BRE22 CAU22:CBA22 CKQ22:CKW22 CUM22:CUS22 DEI22:DEO22 DOE22:DOK22 DYA22:DYG22 EHW22:EIC22 ERS22:ERY22 FBO22:FBU22 FLK22:FLQ22 FVG22:FVM22 GFC22:GFI22 GOY22:GPE22 GYU22:GZA22 HIQ22:HIW22 HSM22:HSS22 ICI22:ICO22 IME22:IMK22 IWA22:IWG22 JFW22:JGC22 JPS22:JPY22 JZO22:JZU22 KJK22:KJQ22 KTG22:KTM22 LDC22:LDI22 LMY22:LNE22 LWU22:LXA22 MGQ22:MGW22 MQM22:MQS22 NAI22:NAO22 NKE22:NKK22 NUA22:NUG22 ODW22:OEC22 ONS22:ONY22 OXO22:OXU22 PHK22:PHQ22 PRG22:PRM22 QBC22:QBI22 QKY22:QLE22 QUU22:QVA22 REQ22:REW22 ROM22:ROS22 RYI22:RYO22 SIE22:SIK22 SSA22:SSG22 TBW22:TCC22 TLS22:TLY22 TVO22:TVU22 UFK22:UFQ22 UPG22:UPM22 UZC22:UZI22 VIY22:VJE22 VSU22:VTA22 WCQ22:WCW22 WMM22:WMS22 WWI22:WWO22 AA65558:AG65558 JW65558:KC65558 TS65558:TY65558 ADO65558:ADU65558 ANK65558:ANQ65558 AXG65558:AXM65558 BHC65558:BHI65558 BQY65558:BRE65558 CAU65558:CBA65558 CKQ65558:CKW65558 CUM65558:CUS65558 DEI65558:DEO65558 DOE65558:DOK65558 DYA65558:DYG65558 EHW65558:EIC65558 ERS65558:ERY65558 FBO65558:FBU65558 FLK65558:FLQ65558 FVG65558:FVM65558 GFC65558:GFI65558 GOY65558:GPE65558 GYU65558:GZA65558 HIQ65558:HIW65558 HSM65558:HSS65558 ICI65558:ICO65558 IME65558:IMK65558 IWA65558:IWG65558 JFW65558:JGC65558 JPS65558:JPY65558 JZO65558:JZU65558 KJK65558:KJQ65558 KTG65558:KTM65558 LDC65558:LDI65558 LMY65558:LNE65558 LWU65558:LXA65558 MGQ65558:MGW65558 MQM65558:MQS65558 NAI65558:NAO65558 NKE65558:NKK65558 NUA65558:NUG65558 ODW65558:OEC65558 ONS65558:ONY65558 OXO65558:OXU65558 PHK65558:PHQ65558 PRG65558:PRM65558 QBC65558:QBI65558 QKY65558:QLE65558 QUU65558:QVA65558 REQ65558:REW65558 ROM65558:ROS65558 RYI65558:RYO65558 SIE65558:SIK65558 SSA65558:SSG65558 TBW65558:TCC65558 TLS65558:TLY65558 TVO65558:TVU65558 UFK65558:UFQ65558 UPG65558:UPM65558 UZC65558:UZI65558 VIY65558:VJE65558 VSU65558:VTA65558 WCQ65558:WCW65558 WMM65558:WMS65558 WWI65558:WWO65558 AA131094:AG131094 JW131094:KC131094 TS131094:TY131094 ADO131094:ADU131094 ANK131094:ANQ131094 AXG131094:AXM131094 BHC131094:BHI131094 BQY131094:BRE131094 CAU131094:CBA131094 CKQ131094:CKW131094 CUM131094:CUS131094 DEI131094:DEO131094 DOE131094:DOK131094 DYA131094:DYG131094 EHW131094:EIC131094 ERS131094:ERY131094 FBO131094:FBU131094 FLK131094:FLQ131094 FVG131094:FVM131094 GFC131094:GFI131094 GOY131094:GPE131094 GYU131094:GZA131094 HIQ131094:HIW131094 HSM131094:HSS131094 ICI131094:ICO131094 IME131094:IMK131094 IWA131094:IWG131094 JFW131094:JGC131094 JPS131094:JPY131094 JZO131094:JZU131094 KJK131094:KJQ131094 KTG131094:KTM131094 LDC131094:LDI131094 LMY131094:LNE131094 LWU131094:LXA131094 MGQ131094:MGW131094 MQM131094:MQS131094 NAI131094:NAO131094 NKE131094:NKK131094 NUA131094:NUG131094 ODW131094:OEC131094 ONS131094:ONY131094 OXO131094:OXU131094 PHK131094:PHQ131094 PRG131094:PRM131094 QBC131094:QBI131094 QKY131094:QLE131094 QUU131094:QVA131094 REQ131094:REW131094 ROM131094:ROS131094 RYI131094:RYO131094 SIE131094:SIK131094 SSA131094:SSG131094 TBW131094:TCC131094 TLS131094:TLY131094 TVO131094:TVU131094 UFK131094:UFQ131094 UPG131094:UPM131094 UZC131094:UZI131094 VIY131094:VJE131094 VSU131094:VTA131094 WCQ131094:WCW131094 WMM131094:WMS131094 WWI131094:WWO131094 AA196630:AG196630 JW196630:KC196630 TS196630:TY196630 ADO196630:ADU196630 ANK196630:ANQ196630 AXG196630:AXM196630 BHC196630:BHI196630 BQY196630:BRE196630 CAU196630:CBA196630 CKQ196630:CKW196630 CUM196630:CUS196630 DEI196630:DEO196630 DOE196630:DOK196630 DYA196630:DYG196630 EHW196630:EIC196630 ERS196630:ERY196630 FBO196630:FBU196630 FLK196630:FLQ196630 FVG196630:FVM196630 GFC196630:GFI196630 GOY196630:GPE196630 GYU196630:GZA196630 HIQ196630:HIW196630 HSM196630:HSS196630 ICI196630:ICO196630 IME196630:IMK196630 IWA196630:IWG196630 JFW196630:JGC196630 JPS196630:JPY196630 JZO196630:JZU196630 KJK196630:KJQ196630 KTG196630:KTM196630 LDC196630:LDI196630 LMY196630:LNE196630 LWU196630:LXA196630 MGQ196630:MGW196630 MQM196630:MQS196630 NAI196630:NAO196630 NKE196630:NKK196630 NUA196630:NUG196630 ODW196630:OEC196630 ONS196630:ONY196630 OXO196630:OXU196630 PHK196630:PHQ196630 PRG196630:PRM196630 QBC196630:QBI196630 QKY196630:QLE196630 QUU196630:QVA196630 REQ196630:REW196630 ROM196630:ROS196630 RYI196630:RYO196630 SIE196630:SIK196630 SSA196630:SSG196630 TBW196630:TCC196630 TLS196630:TLY196630 TVO196630:TVU196630 UFK196630:UFQ196630 UPG196630:UPM196630 UZC196630:UZI196630 VIY196630:VJE196630 VSU196630:VTA196630 WCQ196630:WCW196630 WMM196630:WMS196630 WWI196630:WWO196630 AA262166:AG262166 JW262166:KC262166 TS262166:TY262166 ADO262166:ADU262166 ANK262166:ANQ262166 AXG262166:AXM262166 BHC262166:BHI262166 BQY262166:BRE262166 CAU262166:CBA262166 CKQ262166:CKW262166 CUM262166:CUS262166 DEI262166:DEO262166 DOE262166:DOK262166 DYA262166:DYG262166 EHW262166:EIC262166 ERS262166:ERY262166 FBO262166:FBU262166 FLK262166:FLQ262166 FVG262166:FVM262166 GFC262166:GFI262166 GOY262166:GPE262166 GYU262166:GZA262166 HIQ262166:HIW262166 HSM262166:HSS262166 ICI262166:ICO262166 IME262166:IMK262166 IWA262166:IWG262166 JFW262166:JGC262166 JPS262166:JPY262166 JZO262166:JZU262166 KJK262166:KJQ262166 KTG262166:KTM262166 LDC262166:LDI262166 LMY262166:LNE262166 LWU262166:LXA262166 MGQ262166:MGW262166 MQM262166:MQS262166 NAI262166:NAO262166 NKE262166:NKK262166 NUA262166:NUG262166 ODW262166:OEC262166 ONS262166:ONY262166 OXO262166:OXU262166 PHK262166:PHQ262166 PRG262166:PRM262166 QBC262166:QBI262166 QKY262166:QLE262166 QUU262166:QVA262166 REQ262166:REW262166 ROM262166:ROS262166 RYI262166:RYO262166 SIE262166:SIK262166 SSA262166:SSG262166 TBW262166:TCC262166 TLS262166:TLY262166 TVO262166:TVU262166 UFK262166:UFQ262166 UPG262166:UPM262166 UZC262166:UZI262166 VIY262166:VJE262166 VSU262166:VTA262166 WCQ262166:WCW262166 WMM262166:WMS262166 WWI262166:WWO262166 AA327702:AG327702 JW327702:KC327702 TS327702:TY327702 ADO327702:ADU327702 ANK327702:ANQ327702 AXG327702:AXM327702 BHC327702:BHI327702 BQY327702:BRE327702 CAU327702:CBA327702 CKQ327702:CKW327702 CUM327702:CUS327702 DEI327702:DEO327702 DOE327702:DOK327702 DYA327702:DYG327702 EHW327702:EIC327702 ERS327702:ERY327702 FBO327702:FBU327702 FLK327702:FLQ327702 FVG327702:FVM327702 GFC327702:GFI327702 GOY327702:GPE327702 GYU327702:GZA327702 HIQ327702:HIW327702 HSM327702:HSS327702 ICI327702:ICO327702 IME327702:IMK327702 IWA327702:IWG327702 JFW327702:JGC327702 JPS327702:JPY327702 JZO327702:JZU327702 KJK327702:KJQ327702 KTG327702:KTM327702 LDC327702:LDI327702 LMY327702:LNE327702 LWU327702:LXA327702 MGQ327702:MGW327702 MQM327702:MQS327702 NAI327702:NAO327702 NKE327702:NKK327702 NUA327702:NUG327702 ODW327702:OEC327702 ONS327702:ONY327702 OXO327702:OXU327702 PHK327702:PHQ327702 PRG327702:PRM327702 QBC327702:QBI327702 QKY327702:QLE327702 QUU327702:QVA327702 REQ327702:REW327702 ROM327702:ROS327702 RYI327702:RYO327702 SIE327702:SIK327702 SSA327702:SSG327702 TBW327702:TCC327702 TLS327702:TLY327702 TVO327702:TVU327702 UFK327702:UFQ327702 UPG327702:UPM327702 UZC327702:UZI327702 VIY327702:VJE327702 VSU327702:VTA327702 WCQ327702:WCW327702 WMM327702:WMS327702 WWI327702:WWO327702 AA393238:AG393238 JW393238:KC393238 TS393238:TY393238 ADO393238:ADU393238 ANK393238:ANQ393238 AXG393238:AXM393238 BHC393238:BHI393238 BQY393238:BRE393238 CAU393238:CBA393238 CKQ393238:CKW393238 CUM393238:CUS393238 DEI393238:DEO393238 DOE393238:DOK393238 DYA393238:DYG393238 EHW393238:EIC393238 ERS393238:ERY393238 FBO393238:FBU393238 FLK393238:FLQ393238 FVG393238:FVM393238 GFC393238:GFI393238 GOY393238:GPE393238 GYU393238:GZA393238 HIQ393238:HIW393238 HSM393238:HSS393238 ICI393238:ICO393238 IME393238:IMK393238 IWA393238:IWG393238 JFW393238:JGC393238 JPS393238:JPY393238 JZO393238:JZU393238 KJK393238:KJQ393238 KTG393238:KTM393238 LDC393238:LDI393238 LMY393238:LNE393238 LWU393238:LXA393238 MGQ393238:MGW393238 MQM393238:MQS393238 NAI393238:NAO393238 NKE393238:NKK393238 NUA393238:NUG393238 ODW393238:OEC393238 ONS393238:ONY393238 OXO393238:OXU393238 PHK393238:PHQ393238 PRG393238:PRM393238 QBC393238:QBI393238 QKY393238:QLE393238 QUU393238:QVA393238 REQ393238:REW393238 ROM393238:ROS393238 RYI393238:RYO393238 SIE393238:SIK393238 SSA393238:SSG393238 TBW393238:TCC393238 TLS393238:TLY393238 TVO393238:TVU393238 UFK393238:UFQ393238 UPG393238:UPM393238 UZC393238:UZI393238 VIY393238:VJE393238 VSU393238:VTA393238 WCQ393238:WCW393238 WMM393238:WMS393238 WWI393238:WWO393238 AA458774:AG458774 JW458774:KC458774 TS458774:TY458774 ADO458774:ADU458774 ANK458774:ANQ458774 AXG458774:AXM458774 BHC458774:BHI458774 BQY458774:BRE458774 CAU458774:CBA458774 CKQ458774:CKW458774 CUM458774:CUS458774 DEI458774:DEO458774 DOE458774:DOK458774 DYA458774:DYG458774 EHW458774:EIC458774 ERS458774:ERY458774 FBO458774:FBU458774 FLK458774:FLQ458774 FVG458774:FVM458774 GFC458774:GFI458774 GOY458774:GPE458774 GYU458774:GZA458774 HIQ458774:HIW458774 HSM458774:HSS458774 ICI458774:ICO458774 IME458774:IMK458774 IWA458774:IWG458774 JFW458774:JGC458774 JPS458774:JPY458774 JZO458774:JZU458774 KJK458774:KJQ458774 KTG458774:KTM458774 LDC458774:LDI458774 LMY458774:LNE458774 LWU458774:LXA458774 MGQ458774:MGW458774 MQM458774:MQS458774 NAI458774:NAO458774 NKE458774:NKK458774 NUA458774:NUG458774 ODW458774:OEC458774 ONS458774:ONY458774 OXO458774:OXU458774 PHK458774:PHQ458774 PRG458774:PRM458774 QBC458774:QBI458774 QKY458774:QLE458774 QUU458774:QVA458774 REQ458774:REW458774 ROM458774:ROS458774 RYI458774:RYO458774 SIE458774:SIK458774 SSA458774:SSG458774 TBW458774:TCC458774 TLS458774:TLY458774 TVO458774:TVU458774 UFK458774:UFQ458774 UPG458774:UPM458774 UZC458774:UZI458774 VIY458774:VJE458774 VSU458774:VTA458774 WCQ458774:WCW458774 WMM458774:WMS458774 WWI458774:WWO458774 AA524310:AG524310 JW524310:KC524310 TS524310:TY524310 ADO524310:ADU524310 ANK524310:ANQ524310 AXG524310:AXM524310 BHC524310:BHI524310 BQY524310:BRE524310 CAU524310:CBA524310 CKQ524310:CKW524310 CUM524310:CUS524310 DEI524310:DEO524310 DOE524310:DOK524310 DYA524310:DYG524310 EHW524310:EIC524310 ERS524310:ERY524310 FBO524310:FBU524310 FLK524310:FLQ524310 FVG524310:FVM524310 GFC524310:GFI524310 GOY524310:GPE524310 GYU524310:GZA524310 HIQ524310:HIW524310 HSM524310:HSS524310 ICI524310:ICO524310 IME524310:IMK524310 IWA524310:IWG524310 JFW524310:JGC524310 JPS524310:JPY524310 JZO524310:JZU524310 KJK524310:KJQ524310 KTG524310:KTM524310 LDC524310:LDI524310 LMY524310:LNE524310 LWU524310:LXA524310 MGQ524310:MGW524310 MQM524310:MQS524310 NAI524310:NAO524310 NKE524310:NKK524310 NUA524310:NUG524310 ODW524310:OEC524310 ONS524310:ONY524310 OXO524310:OXU524310 PHK524310:PHQ524310 PRG524310:PRM524310 QBC524310:QBI524310 QKY524310:QLE524310 QUU524310:QVA524310 REQ524310:REW524310 ROM524310:ROS524310 RYI524310:RYO524310 SIE524310:SIK524310 SSA524310:SSG524310 TBW524310:TCC524310 TLS524310:TLY524310 TVO524310:TVU524310 UFK524310:UFQ524310 UPG524310:UPM524310 UZC524310:UZI524310 VIY524310:VJE524310 VSU524310:VTA524310 WCQ524310:WCW524310 WMM524310:WMS524310 WWI524310:WWO524310 AA589846:AG589846 JW589846:KC589846 TS589846:TY589846 ADO589846:ADU589846 ANK589846:ANQ589846 AXG589846:AXM589846 BHC589846:BHI589846 BQY589846:BRE589846 CAU589846:CBA589846 CKQ589846:CKW589846 CUM589846:CUS589846 DEI589846:DEO589846 DOE589846:DOK589846 DYA589846:DYG589846 EHW589846:EIC589846 ERS589846:ERY589846 FBO589846:FBU589846 FLK589846:FLQ589846 FVG589846:FVM589846 GFC589846:GFI589846 GOY589846:GPE589846 GYU589846:GZA589846 HIQ589846:HIW589846 HSM589846:HSS589846 ICI589846:ICO589846 IME589846:IMK589846 IWA589846:IWG589846 JFW589846:JGC589846 JPS589846:JPY589846 JZO589846:JZU589846 KJK589846:KJQ589846 KTG589846:KTM589846 LDC589846:LDI589846 LMY589846:LNE589846 LWU589846:LXA589846 MGQ589846:MGW589846 MQM589846:MQS589846 NAI589846:NAO589846 NKE589846:NKK589846 NUA589846:NUG589846 ODW589846:OEC589846 ONS589846:ONY589846 OXO589846:OXU589846 PHK589846:PHQ589846 PRG589846:PRM589846 QBC589846:QBI589846 QKY589846:QLE589846 QUU589846:QVA589846 REQ589846:REW589846 ROM589846:ROS589846 RYI589846:RYO589846 SIE589846:SIK589846 SSA589846:SSG589846 TBW589846:TCC589846 TLS589846:TLY589846 TVO589846:TVU589846 UFK589846:UFQ589846 UPG589846:UPM589846 UZC589846:UZI589846 VIY589846:VJE589846 VSU589846:VTA589846 WCQ589846:WCW589846 WMM589846:WMS589846 WWI589846:WWO589846 AA655382:AG655382 JW655382:KC655382 TS655382:TY655382 ADO655382:ADU655382 ANK655382:ANQ655382 AXG655382:AXM655382 BHC655382:BHI655382 BQY655382:BRE655382 CAU655382:CBA655382 CKQ655382:CKW655382 CUM655382:CUS655382 DEI655382:DEO655382 DOE655382:DOK655382 DYA655382:DYG655382 EHW655382:EIC655382 ERS655382:ERY655382 FBO655382:FBU655382 FLK655382:FLQ655382 FVG655382:FVM655382 GFC655382:GFI655382 GOY655382:GPE655382 GYU655382:GZA655382 HIQ655382:HIW655382 HSM655382:HSS655382 ICI655382:ICO655382 IME655382:IMK655382 IWA655382:IWG655382 JFW655382:JGC655382 JPS655382:JPY655382 JZO655382:JZU655382 KJK655382:KJQ655382 KTG655382:KTM655382 LDC655382:LDI655382 LMY655382:LNE655382 LWU655382:LXA655382 MGQ655382:MGW655382 MQM655382:MQS655382 NAI655382:NAO655382 NKE655382:NKK655382 NUA655382:NUG655382 ODW655382:OEC655382 ONS655382:ONY655382 OXO655382:OXU655382 PHK655382:PHQ655382 PRG655382:PRM655382 QBC655382:QBI655382 QKY655382:QLE655382 QUU655382:QVA655382 REQ655382:REW655382 ROM655382:ROS655382 RYI655382:RYO655382 SIE655382:SIK655382 SSA655382:SSG655382 TBW655382:TCC655382 TLS655382:TLY655382 TVO655382:TVU655382 UFK655382:UFQ655382 UPG655382:UPM655382 UZC655382:UZI655382 VIY655382:VJE655382 VSU655382:VTA655382 WCQ655382:WCW655382 WMM655382:WMS655382 WWI655382:WWO655382 AA720918:AG720918 JW720918:KC720918 TS720918:TY720918 ADO720918:ADU720918 ANK720918:ANQ720918 AXG720918:AXM720918 BHC720918:BHI720918 BQY720918:BRE720918 CAU720918:CBA720918 CKQ720918:CKW720918 CUM720918:CUS720918 DEI720918:DEO720918 DOE720918:DOK720918 DYA720918:DYG720918 EHW720918:EIC720918 ERS720918:ERY720918 FBO720918:FBU720918 FLK720918:FLQ720918 FVG720918:FVM720918 GFC720918:GFI720918 GOY720918:GPE720918 GYU720918:GZA720918 HIQ720918:HIW720918 HSM720918:HSS720918 ICI720918:ICO720918 IME720918:IMK720918 IWA720918:IWG720918 JFW720918:JGC720918 JPS720918:JPY720918 JZO720918:JZU720918 KJK720918:KJQ720918 KTG720918:KTM720918 LDC720918:LDI720918 LMY720918:LNE720918 LWU720918:LXA720918 MGQ720918:MGW720918 MQM720918:MQS720918 NAI720918:NAO720918 NKE720918:NKK720918 NUA720918:NUG720918 ODW720918:OEC720918 ONS720918:ONY720918 OXO720918:OXU720918 PHK720918:PHQ720918 PRG720918:PRM720918 QBC720918:QBI720918 QKY720918:QLE720918 QUU720918:QVA720918 REQ720918:REW720918 ROM720918:ROS720918 RYI720918:RYO720918 SIE720918:SIK720918 SSA720918:SSG720918 TBW720918:TCC720918 TLS720918:TLY720918 TVO720918:TVU720918 UFK720918:UFQ720918 UPG720918:UPM720918 UZC720918:UZI720918 VIY720918:VJE720918 VSU720918:VTA720918 WCQ720918:WCW720918 WMM720918:WMS720918 WWI720918:WWO720918 AA786454:AG786454 JW786454:KC786454 TS786454:TY786454 ADO786454:ADU786454 ANK786454:ANQ786454 AXG786454:AXM786454 BHC786454:BHI786454 BQY786454:BRE786454 CAU786454:CBA786454 CKQ786454:CKW786454 CUM786454:CUS786454 DEI786454:DEO786454 DOE786454:DOK786454 DYA786454:DYG786454 EHW786454:EIC786454 ERS786454:ERY786454 FBO786454:FBU786454 FLK786454:FLQ786454 FVG786454:FVM786454 GFC786454:GFI786454 GOY786454:GPE786454 GYU786454:GZA786454 HIQ786454:HIW786454 HSM786454:HSS786454 ICI786454:ICO786454 IME786454:IMK786454 IWA786454:IWG786454 JFW786454:JGC786454 JPS786454:JPY786454 JZO786454:JZU786454 KJK786454:KJQ786454 KTG786454:KTM786454 LDC786454:LDI786454 LMY786454:LNE786454 LWU786454:LXA786454 MGQ786454:MGW786454 MQM786454:MQS786454 NAI786454:NAO786454 NKE786454:NKK786454 NUA786454:NUG786454 ODW786454:OEC786454 ONS786454:ONY786454 OXO786454:OXU786454 PHK786454:PHQ786454 PRG786454:PRM786454 QBC786454:QBI786454 QKY786454:QLE786454 QUU786454:QVA786454 REQ786454:REW786454 ROM786454:ROS786454 RYI786454:RYO786454 SIE786454:SIK786454 SSA786454:SSG786454 TBW786454:TCC786454 TLS786454:TLY786454 TVO786454:TVU786454 UFK786454:UFQ786454 UPG786454:UPM786454 UZC786454:UZI786454 VIY786454:VJE786454 VSU786454:VTA786454 WCQ786454:WCW786454 WMM786454:WMS786454 WWI786454:WWO786454 AA851990:AG851990 JW851990:KC851990 TS851990:TY851990 ADO851990:ADU851990 ANK851990:ANQ851990 AXG851990:AXM851990 BHC851990:BHI851990 BQY851990:BRE851990 CAU851990:CBA851990 CKQ851990:CKW851990 CUM851990:CUS851990 DEI851990:DEO851990 DOE851990:DOK851990 DYA851990:DYG851990 EHW851990:EIC851990 ERS851990:ERY851990 FBO851990:FBU851990 FLK851990:FLQ851990 FVG851990:FVM851990 GFC851990:GFI851990 GOY851990:GPE851990 GYU851990:GZA851990 HIQ851990:HIW851990 HSM851990:HSS851990 ICI851990:ICO851990 IME851990:IMK851990 IWA851990:IWG851990 JFW851990:JGC851990 JPS851990:JPY851990 JZO851990:JZU851990 KJK851990:KJQ851990 KTG851990:KTM851990 LDC851990:LDI851990 LMY851990:LNE851990 LWU851990:LXA851990 MGQ851990:MGW851990 MQM851990:MQS851990 NAI851990:NAO851990 NKE851990:NKK851990 NUA851990:NUG851990 ODW851990:OEC851990 ONS851990:ONY851990 OXO851990:OXU851990 PHK851990:PHQ851990 PRG851990:PRM851990 QBC851990:QBI851990 QKY851990:QLE851990 QUU851990:QVA851990 REQ851990:REW851990 ROM851990:ROS851990 RYI851990:RYO851990 SIE851990:SIK851990 SSA851990:SSG851990 TBW851990:TCC851990 TLS851990:TLY851990 TVO851990:TVU851990 UFK851990:UFQ851990 UPG851990:UPM851990 UZC851990:UZI851990 VIY851990:VJE851990 VSU851990:VTA851990 WCQ851990:WCW851990 WMM851990:WMS851990 WWI851990:WWO851990 AA917526:AG917526 JW917526:KC917526 TS917526:TY917526 ADO917526:ADU917526 ANK917526:ANQ917526 AXG917526:AXM917526 BHC917526:BHI917526 BQY917526:BRE917526 CAU917526:CBA917526 CKQ917526:CKW917526 CUM917526:CUS917526 DEI917526:DEO917526 DOE917526:DOK917526 DYA917526:DYG917526 EHW917526:EIC917526 ERS917526:ERY917526 FBO917526:FBU917526 FLK917526:FLQ917526 FVG917526:FVM917526 GFC917526:GFI917526 GOY917526:GPE917526 GYU917526:GZA917526 HIQ917526:HIW917526 HSM917526:HSS917526 ICI917526:ICO917526 IME917526:IMK917526 IWA917526:IWG917526 JFW917526:JGC917526 JPS917526:JPY917526 JZO917526:JZU917526 KJK917526:KJQ917526 KTG917526:KTM917526 LDC917526:LDI917526 LMY917526:LNE917526 LWU917526:LXA917526 MGQ917526:MGW917526 MQM917526:MQS917526 NAI917526:NAO917526 NKE917526:NKK917526 NUA917526:NUG917526 ODW917526:OEC917526 ONS917526:ONY917526 OXO917526:OXU917526 PHK917526:PHQ917526 PRG917526:PRM917526 QBC917526:QBI917526 QKY917526:QLE917526 QUU917526:QVA917526 REQ917526:REW917526 ROM917526:ROS917526 RYI917526:RYO917526 SIE917526:SIK917526 SSA917526:SSG917526 TBW917526:TCC917526 TLS917526:TLY917526 TVO917526:TVU917526 UFK917526:UFQ917526 UPG917526:UPM917526 UZC917526:UZI917526 VIY917526:VJE917526 VSU917526:VTA917526 WCQ917526:WCW917526 WMM917526:WMS917526 WWI917526:WWO917526 AA983062:AG983062 JW983062:KC983062 TS983062:TY983062 ADO983062:ADU983062 ANK983062:ANQ983062 AXG983062:AXM983062 BHC983062:BHI983062 BQY983062:BRE983062 CAU983062:CBA983062 CKQ983062:CKW983062 CUM983062:CUS983062 DEI983062:DEO983062 DOE983062:DOK983062 DYA983062:DYG983062 EHW983062:EIC983062 ERS983062:ERY983062 FBO983062:FBU983062 FLK983062:FLQ983062 FVG983062:FVM983062 GFC983062:GFI983062 GOY983062:GPE983062 GYU983062:GZA983062 HIQ983062:HIW983062 HSM983062:HSS983062 ICI983062:ICO983062 IME983062:IMK983062 IWA983062:IWG983062 JFW983062:JGC983062 JPS983062:JPY983062 JZO983062:JZU983062 KJK983062:KJQ983062 KTG983062:KTM983062 LDC983062:LDI983062 LMY983062:LNE983062 LWU983062:LXA983062 MGQ983062:MGW983062 MQM983062:MQS983062 NAI983062:NAO983062 NKE983062:NKK983062 NUA983062:NUG983062 ODW983062:OEC983062 ONS983062:ONY983062 OXO983062:OXU983062 PHK983062:PHQ983062 PRG983062:PRM983062 QBC983062:QBI983062 QKY983062:QLE983062 QUU983062:QVA983062 REQ983062:REW983062 ROM983062:ROS983062 RYI983062:RYO983062 SIE983062:SIK983062 SSA983062:SSG983062 TBW983062:TCC983062 TLS983062:TLY983062 TVO983062:TVU983062 UFK983062:UFQ983062 UPG983062:UPM983062 UZC983062:UZI983062 VIY983062:VJE983062 VSU983062:VTA983062 WCQ983062:WCW983062 WMM983062:WMS983062 WWI983062:WWO983062"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M18" sqref="M18"/>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76" t="s">
        <v>71</v>
      </c>
      <c r="C1" s="176"/>
      <c r="D1" s="217">
        <v>44341</v>
      </c>
      <c r="E1" s="217"/>
      <c r="F1" s="217"/>
      <c r="G1" s="217"/>
      <c r="H1" s="217"/>
      <c r="I1" s="217"/>
      <c r="R1" s="54"/>
      <c r="S1" s="184"/>
      <c r="T1" s="184"/>
      <c r="U1" s="184"/>
      <c r="V1" s="184"/>
      <c r="W1" s="184"/>
      <c r="X1" s="184"/>
      <c r="Y1" s="184"/>
    </row>
    <row r="2" spans="1:39" ht="13.5" customHeight="1">
      <c r="A2" s="179" t="s">
        <v>70</v>
      </c>
      <c r="B2" s="179"/>
      <c r="C2" s="179"/>
      <c r="D2" s="179"/>
      <c r="E2" s="179"/>
      <c r="F2" s="179"/>
      <c r="G2" s="179"/>
      <c r="H2" s="179"/>
      <c r="I2" s="179"/>
      <c r="J2" s="179"/>
      <c r="K2" s="179"/>
      <c r="L2" s="179"/>
      <c r="M2" s="179"/>
      <c r="N2" s="179"/>
      <c r="O2" s="179"/>
      <c r="P2" s="179"/>
      <c r="Q2" s="179"/>
      <c r="R2" s="179"/>
      <c r="S2" s="179"/>
      <c r="T2" s="179"/>
      <c r="U2" s="179"/>
      <c r="V2" s="179"/>
      <c r="W2" s="179"/>
      <c r="X2" s="179"/>
      <c r="Y2" s="179"/>
      <c r="Z2" s="179"/>
    </row>
    <row r="3" spans="1:39" ht="24.75" customHeight="1">
      <c r="A3" s="180"/>
      <c r="B3" s="180"/>
      <c r="C3" s="180"/>
      <c r="D3" s="180"/>
      <c r="E3" s="180"/>
      <c r="F3" s="180"/>
      <c r="G3" s="180"/>
      <c r="H3" s="180"/>
      <c r="I3" s="180"/>
      <c r="J3" s="180"/>
      <c r="K3" s="180"/>
      <c r="L3" s="180"/>
      <c r="M3" s="180"/>
      <c r="N3" s="180"/>
      <c r="O3" s="180"/>
      <c r="P3" s="180"/>
      <c r="Q3" s="180"/>
      <c r="R3" s="180"/>
      <c r="S3" s="180"/>
      <c r="T3" s="180"/>
      <c r="U3" s="180"/>
      <c r="V3" s="180"/>
      <c r="W3" s="180"/>
      <c r="X3" s="180"/>
      <c r="Y3" s="180"/>
      <c r="Z3" s="180"/>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85" t="str" cm="1">
        <f t="array" aca="1" ref="D5" ca="1">RIGHT(CELL("filename",B1),LEN(CELL("filename",B1))-FIND("]",CELL("filename",B1)))</f>
        <v>Lunch</v>
      </c>
      <c r="E5" s="185"/>
      <c r="F5" s="185"/>
      <c r="G5" s="185"/>
      <c r="H5" s="185"/>
      <c r="I5" s="185"/>
      <c r="J5" s="185"/>
      <c r="K5" s="170" t="s">
        <v>69</v>
      </c>
      <c r="L5" s="170"/>
      <c r="M5" s="51"/>
    </row>
    <row r="6" spans="1:39" ht="18" customHeight="1">
      <c r="D6" s="185"/>
      <c r="E6" s="185"/>
      <c r="F6" s="185"/>
      <c r="G6" s="185"/>
      <c r="H6" s="185"/>
      <c r="I6" s="185"/>
      <c r="J6" s="185"/>
      <c r="K6" s="170"/>
      <c r="L6" s="170"/>
      <c r="M6" s="162" t="s">
        <v>68</v>
      </c>
      <c r="N6" s="162"/>
      <c r="O6" s="162"/>
      <c r="P6" s="162"/>
      <c r="Q6" s="162"/>
      <c r="R6" s="162"/>
      <c r="S6" s="162"/>
      <c r="T6" s="162"/>
      <c r="U6" s="162"/>
      <c r="V6" s="162"/>
      <c r="W6" s="162"/>
      <c r="X6" s="162"/>
      <c r="Y6" s="162"/>
    </row>
    <row r="7" spans="1:39" ht="18" customHeight="1">
      <c r="N7" s="160" t="s">
        <v>67</v>
      </c>
      <c r="O7" s="160"/>
      <c r="P7" s="160"/>
      <c r="Q7" s="160"/>
      <c r="R7" s="160"/>
      <c r="S7" s="160"/>
      <c r="T7" s="160"/>
      <c r="U7" s="160"/>
      <c r="V7" s="160"/>
      <c r="W7" s="160"/>
      <c r="X7" s="160"/>
      <c r="Y7" s="160"/>
    </row>
    <row r="8" spans="1:39" ht="18" customHeight="1">
      <c r="N8" s="160" t="s">
        <v>66</v>
      </c>
      <c r="O8" s="160"/>
      <c r="P8" s="160"/>
      <c r="Q8" s="160"/>
      <c r="R8" s="160"/>
      <c r="S8" s="160"/>
      <c r="T8" s="160"/>
      <c r="U8" s="160"/>
      <c r="V8" s="160"/>
      <c r="W8" s="160"/>
      <c r="X8" s="160"/>
      <c r="Y8" s="160"/>
    </row>
    <row r="9" spans="1:39" ht="18" customHeight="1">
      <c r="D9" s="177" t="s">
        <v>65</v>
      </c>
      <c r="E9" s="177"/>
      <c r="F9" s="177"/>
      <c r="G9" s="177"/>
      <c r="H9" s="177"/>
      <c r="I9" s="177"/>
      <c r="J9" s="177"/>
      <c r="K9" s="177"/>
    </row>
    <row r="10" spans="1:39" ht="13.5" customHeight="1">
      <c r="J10" s="181">
        <f>W17</f>
        <v>0</v>
      </c>
      <c r="K10" s="181"/>
      <c r="L10" s="181"/>
      <c r="M10" s="181"/>
      <c r="N10" s="181"/>
      <c r="O10" s="181"/>
      <c r="P10" s="181"/>
    </row>
    <row r="11" spans="1:39" ht="24.75" customHeight="1" thickBot="1">
      <c r="E11" s="173" t="s">
        <v>28</v>
      </c>
      <c r="F11" s="173"/>
      <c r="G11" s="173"/>
      <c r="H11" s="173"/>
      <c r="I11" s="173"/>
      <c r="J11" s="182"/>
      <c r="K11" s="182"/>
      <c r="L11" s="182"/>
      <c r="M11" s="182"/>
      <c r="N11" s="182"/>
      <c r="O11" s="182"/>
      <c r="P11" s="182"/>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54" t="s">
        <v>64</v>
      </c>
      <c r="D13" s="155"/>
      <c r="E13" s="153" t="s">
        <v>63</v>
      </c>
      <c r="F13" s="154"/>
      <c r="G13" s="154"/>
      <c r="H13" s="154"/>
      <c r="I13" s="154"/>
      <c r="J13" s="154"/>
      <c r="K13" s="154"/>
      <c r="L13" s="154"/>
      <c r="M13" s="154"/>
      <c r="N13" s="154"/>
      <c r="O13" s="154"/>
      <c r="P13" s="155"/>
      <c r="Q13" s="158" t="s">
        <v>62</v>
      </c>
      <c r="R13" s="158"/>
      <c r="S13" s="158"/>
      <c r="T13" s="158" t="s">
        <v>61</v>
      </c>
      <c r="U13" s="158"/>
      <c r="V13" s="158"/>
      <c r="W13" s="158" t="s">
        <v>60</v>
      </c>
      <c r="X13" s="158"/>
      <c r="Y13" s="158"/>
      <c r="Z13" s="50"/>
      <c r="AA13" s="50"/>
      <c r="AB13" s="50"/>
      <c r="AC13" s="50"/>
      <c r="AD13" s="50"/>
      <c r="AE13" s="50"/>
      <c r="AF13" s="50"/>
      <c r="AG13" s="50"/>
      <c r="AH13" s="50"/>
      <c r="AI13" s="50"/>
      <c r="AJ13" s="50"/>
    </row>
    <row r="14" spans="1:39" ht="21" customHeight="1">
      <c r="B14" s="49"/>
      <c r="C14" s="156">
        <v>1</v>
      </c>
      <c r="D14" s="157"/>
      <c r="E14" s="174" t="s">
        <v>59</v>
      </c>
      <c r="F14" s="174"/>
      <c r="G14" s="174"/>
      <c r="H14" s="174"/>
      <c r="I14" s="174"/>
      <c r="J14" s="174"/>
      <c r="K14" s="174"/>
      <c r="L14" s="174"/>
      <c r="M14" s="174"/>
      <c r="N14" s="174"/>
      <c r="O14" s="174"/>
      <c r="P14" s="175"/>
      <c r="Q14" s="152"/>
      <c r="R14" s="152"/>
      <c r="S14" s="152"/>
      <c r="T14" s="159">
        <v>100</v>
      </c>
      <c r="U14" s="159"/>
      <c r="V14" s="159"/>
      <c r="W14" s="183">
        <f>T14*Q14</f>
        <v>0</v>
      </c>
      <c r="X14" s="183"/>
      <c r="Y14" s="183"/>
    </row>
    <row r="15" spans="1:39" ht="21" customHeight="1">
      <c r="B15" s="49"/>
      <c r="C15" s="156">
        <v>2</v>
      </c>
      <c r="D15" s="157"/>
      <c r="E15" s="171"/>
      <c r="F15" s="171"/>
      <c r="G15" s="171"/>
      <c r="H15" s="171"/>
      <c r="I15" s="171"/>
      <c r="J15" s="171"/>
      <c r="K15" s="171"/>
      <c r="L15" s="171"/>
      <c r="M15" s="171"/>
      <c r="N15" s="171"/>
      <c r="O15" s="171"/>
      <c r="P15" s="172"/>
      <c r="Q15" s="152"/>
      <c r="R15" s="152"/>
      <c r="S15" s="152"/>
      <c r="T15" s="152"/>
      <c r="U15" s="152"/>
      <c r="V15" s="152"/>
      <c r="W15" s="152"/>
      <c r="X15" s="152"/>
      <c r="Y15" s="152"/>
    </row>
    <row r="16" spans="1:39" ht="21" customHeight="1">
      <c r="B16" s="49"/>
      <c r="C16" s="156">
        <v>3</v>
      </c>
      <c r="D16" s="157"/>
      <c r="E16" s="171"/>
      <c r="F16" s="171"/>
      <c r="G16" s="171"/>
      <c r="H16" s="171"/>
      <c r="I16" s="171"/>
      <c r="J16" s="171"/>
      <c r="K16" s="171"/>
      <c r="L16" s="171"/>
      <c r="M16" s="171"/>
      <c r="N16" s="171"/>
      <c r="O16" s="171"/>
      <c r="P16" s="172"/>
      <c r="Q16" s="152"/>
      <c r="R16" s="152"/>
      <c r="S16" s="152"/>
      <c r="T16" s="152"/>
      <c r="U16" s="152"/>
      <c r="V16" s="152"/>
      <c r="W16" s="152"/>
      <c r="X16" s="152"/>
      <c r="Y16" s="152"/>
    </row>
    <row r="17" spans="1:27" ht="21" customHeight="1">
      <c r="Q17" s="158" t="s">
        <v>58</v>
      </c>
      <c r="R17" s="158"/>
      <c r="S17" s="158"/>
      <c r="T17" s="158"/>
      <c r="U17" s="158"/>
      <c r="V17" s="158"/>
      <c r="W17" s="159">
        <f>SUM(W14:Y16)</f>
        <v>0</v>
      </c>
      <c r="X17" s="159"/>
      <c r="Y17" s="159"/>
    </row>
    <row r="18" spans="1:27" ht="14.25" customHeight="1">
      <c r="Q18" s="48"/>
      <c r="R18" s="48"/>
      <c r="S18" s="48"/>
      <c r="T18" s="48"/>
      <c r="U18" s="48"/>
      <c r="V18" s="48"/>
      <c r="W18" s="47"/>
      <c r="X18" s="47"/>
      <c r="Y18" s="47"/>
    </row>
    <row r="19" spans="1:27" s="46" customFormat="1" ht="20.100000000000001" customHeight="1">
      <c r="B19" s="35" t="s">
        <v>82</v>
      </c>
      <c r="D19" s="33">
        <v>3</v>
      </c>
      <c r="E19" s="33" t="s">
        <v>46</v>
      </c>
      <c r="F19" s="33">
        <v>4</v>
      </c>
      <c r="G19" s="165" t="s">
        <v>72</v>
      </c>
      <c r="H19" s="165"/>
      <c r="I19" s="35"/>
      <c r="J19" s="35"/>
      <c r="K19" s="35"/>
      <c r="L19" s="35"/>
      <c r="M19" s="35"/>
      <c r="N19" s="35"/>
      <c r="O19" s="35"/>
      <c r="P19" s="35"/>
      <c r="Q19" s="35"/>
      <c r="R19" s="35"/>
      <c r="S19" s="35"/>
      <c r="T19" s="35"/>
      <c r="U19" s="35"/>
      <c r="V19" s="35"/>
      <c r="W19" s="35"/>
      <c r="X19" s="35"/>
      <c r="Y19" s="35"/>
      <c r="Z19" s="35"/>
    </row>
    <row r="20" spans="1:27" ht="18" customHeight="1">
      <c r="I20" s="36"/>
      <c r="J20" s="36"/>
      <c r="K20" s="36"/>
      <c r="L20" s="36"/>
      <c r="M20" s="36"/>
      <c r="N20" s="36"/>
      <c r="O20" s="36"/>
    </row>
    <row r="21" spans="1:27" ht="18" customHeight="1">
      <c r="D21" s="178" t="s">
        <v>49</v>
      </c>
      <c r="E21" s="178"/>
      <c r="F21" s="178"/>
      <c r="G21" s="178"/>
      <c r="H21" s="178"/>
      <c r="I21" s="178"/>
      <c r="J21" s="35"/>
      <c r="M21" s="162" t="s">
        <v>57</v>
      </c>
      <c r="N21" s="162"/>
      <c r="O21" s="162"/>
      <c r="P21" s="162"/>
      <c r="Q21" s="162"/>
      <c r="R21" s="162"/>
      <c r="S21" s="162"/>
      <c r="T21" s="162"/>
      <c r="U21" s="162"/>
      <c r="V21" s="162"/>
      <c r="W21" s="162"/>
      <c r="X21" s="162"/>
      <c r="Y21" s="162"/>
      <c r="Z21" s="34"/>
    </row>
    <row r="22" spans="1:27" ht="18" customHeight="1">
      <c r="D22" s="45"/>
      <c r="K22" s="35"/>
      <c r="L22" s="35"/>
      <c r="M22" s="44"/>
      <c r="N22" s="160" t="s">
        <v>56</v>
      </c>
      <c r="O22" s="160"/>
      <c r="P22" s="160"/>
      <c r="Q22" s="160"/>
      <c r="R22" s="160"/>
      <c r="S22" s="160"/>
      <c r="T22" s="160"/>
      <c r="U22" s="160"/>
      <c r="V22" s="160"/>
      <c r="W22" s="160"/>
      <c r="X22" s="160"/>
      <c r="Y22" s="160"/>
      <c r="Z22" s="34"/>
    </row>
    <row r="23" spans="1:27" ht="18" customHeight="1">
      <c r="D23" s="165" t="s">
        <v>82</v>
      </c>
      <c r="E23" s="165"/>
      <c r="F23" s="43">
        <v>3</v>
      </c>
      <c r="G23" s="33" t="s">
        <v>46</v>
      </c>
      <c r="H23" s="33"/>
      <c r="I23" s="33" t="s">
        <v>45</v>
      </c>
      <c r="J23" s="33"/>
      <c r="K23" s="33" t="s">
        <v>44</v>
      </c>
      <c r="L23" s="35"/>
      <c r="M23" s="35"/>
      <c r="N23" s="160" t="s">
        <v>55</v>
      </c>
      <c r="O23" s="160"/>
      <c r="P23" s="160"/>
      <c r="Q23" s="160"/>
      <c r="R23" s="160"/>
      <c r="S23" s="160"/>
      <c r="T23" s="160"/>
      <c r="U23" s="160"/>
      <c r="V23" s="160"/>
      <c r="W23" s="160"/>
      <c r="X23" s="160"/>
      <c r="Y23" s="160"/>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I30" s="35"/>
      <c r="J30" s="35"/>
      <c r="K30" s="35"/>
      <c r="L30" s="35"/>
      <c r="M30" s="35"/>
      <c r="N30" s="35"/>
    </row>
    <row r="31" spans="1:27" ht="18" customHeight="1">
      <c r="B31" s="35" t="s">
        <v>82</v>
      </c>
      <c r="D31" s="33">
        <f>D19</f>
        <v>3</v>
      </c>
      <c r="E31" s="33" t="s">
        <v>46</v>
      </c>
      <c r="F31" s="33">
        <f>F19</f>
        <v>4</v>
      </c>
      <c r="G31" s="165" t="s">
        <v>72</v>
      </c>
      <c r="H31" s="16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69" t="s">
        <v>53</v>
      </c>
      <c r="B33" s="169"/>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row>
    <row r="35" spans="1:26" ht="35.1" customHeight="1">
      <c r="B35" s="35"/>
      <c r="C35" s="39"/>
      <c r="D35" s="161" t="str">
        <f t="array" aca="1" ref="D35" ca="1">RIGHT(CELL("filename",B1),LEN(CELL("filename",B1))-FIND("]",CELL("filename",B1)))</f>
        <v>Lunch</v>
      </c>
      <c r="E35" s="161"/>
      <c r="F35" s="161"/>
      <c r="G35" s="161"/>
      <c r="H35" s="161"/>
      <c r="I35" s="161"/>
      <c r="J35" s="161"/>
      <c r="K35" s="161"/>
      <c r="L35" s="161"/>
      <c r="M35" s="161"/>
      <c r="N35" s="161"/>
      <c r="O35" s="38" t="s">
        <v>52</v>
      </c>
      <c r="P35" s="35"/>
      <c r="Q35" s="35"/>
      <c r="R35" s="35"/>
      <c r="S35" s="35"/>
      <c r="T35" s="35"/>
      <c r="U35" s="35"/>
      <c r="V35" s="35"/>
      <c r="W35" s="35"/>
      <c r="X35" s="35"/>
      <c r="Y35" s="35"/>
      <c r="Z35" s="35"/>
    </row>
    <row r="37" spans="1:26" ht="18" customHeight="1">
      <c r="H37" s="167" t="s">
        <v>51</v>
      </c>
      <c r="I37" s="163">
        <f>W17</f>
        <v>0</v>
      </c>
      <c r="J37" s="163"/>
      <c r="K37" s="163"/>
      <c r="L37" s="163"/>
      <c r="M37" s="163"/>
      <c r="N37" s="163"/>
      <c r="O37" s="163"/>
      <c r="P37" s="163"/>
      <c r="Q37" s="163"/>
      <c r="R37" s="163"/>
      <c r="S37" s="163"/>
    </row>
    <row r="38" spans="1:26" ht="18" customHeight="1" thickBot="1">
      <c r="H38" s="168"/>
      <c r="I38" s="164"/>
      <c r="J38" s="164"/>
      <c r="K38" s="164"/>
      <c r="L38" s="164"/>
      <c r="M38" s="164"/>
      <c r="N38" s="164"/>
      <c r="O38" s="164"/>
      <c r="P38" s="164"/>
      <c r="Q38" s="164"/>
      <c r="R38" s="164"/>
      <c r="S38" s="164"/>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62" t="s">
        <v>50</v>
      </c>
      <c r="N40" s="162"/>
      <c r="O40" s="162"/>
      <c r="P40" s="162"/>
      <c r="Q40" s="162"/>
      <c r="R40" s="162"/>
      <c r="S40" s="162"/>
      <c r="T40" s="162"/>
      <c r="U40" s="162"/>
      <c r="V40" s="162"/>
      <c r="W40" s="162"/>
      <c r="X40" s="162"/>
      <c r="Y40" s="162"/>
      <c r="Z40" s="34"/>
    </row>
    <row r="41" spans="1:26" ht="18" customHeight="1">
      <c r="D41" s="166" t="s">
        <v>49</v>
      </c>
      <c r="E41" s="166"/>
      <c r="F41" s="166"/>
      <c r="G41" s="166"/>
      <c r="H41" s="166"/>
      <c r="I41" s="166"/>
      <c r="J41" s="166"/>
      <c r="K41" s="166"/>
      <c r="L41" s="35"/>
      <c r="N41" s="160" t="s">
        <v>48</v>
      </c>
      <c r="O41" s="160"/>
      <c r="P41" s="160"/>
      <c r="Q41" s="160"/>
      <c r="R41" s="160"/>
      <c r="S41" s="160"/>
      <c r="T41" s="160"/>
      <c r="U41" s="160"/>
      <c r="V41" s="160"/>
      <c r="W41" s="160"/>
      <c r="X41" s="160"/>
      <c r="Y41" s="160"/>
      <c r="Z41" s="34"/>
    </row>
    <row r="42" spans="1:26" ht="18" customHeight="1">
      <c r="L42" s="35"/>
      <c r="M42" s="35"/>
      <c r="N42" s="160" t="s">
        <v>47</v>
      </c>
      <c r="O42" s="160"/>
      <c r="P42" s="160"/>
      <c r="Q42" s="160"/>
      <c r="R42" s="160"/>
      <c r="S42" s="160"/>
      <c r="T42" s="160"/>
      <c r="U42" s="160"/>
      <c r="V42" s="160"/>
      <c r="W42" s="160"/>
      <c r="X42" s="160"/>
      <c r="Y42" s="160"/>
      <c r="Z42" s="34"/>
    </row>
    <row r="43" spans="1:26" ht="18" customHeight="1">
      <c r="D43" s="165" t="str">
        <f>D23</f>
        <v>令和</v>
      </c>
      <c r="E43" s="165"/>
      <c r="F43" s="33">
        <f>F23</f>
        <v>3</v>
      </c>
      <c r="G43" s="33" t="s">
        <v>46</v>
      </c>
      <c r="H43" s="33"/>
      <c r="I43" s="33" t="s">
        <v>45</v>
      </c>
      <c r="J43" s="33"/>
      <c r="K43" s="33" t="s">
        <v>44</v>
      </c>
      <c r="N43" s="160" t="s">
        <v>43</v>
      </c>
      <c r="O43" s="160"/>
      <c r="P43" s="160"/>
      <c r="Q43" s="160"/>
      <c r="R43" s="160"/>
      <c r="S43" s="160"/>
      <c r="T43" s="160"/>
      <c r="U43" s="160"/>
      <c r="V43" s="160"/>
      <c r="W43" s="160"/>
      <c r="X43" s="160"/>
      <c r="Y43" s="160"/>
    </row>
  </sheetData>
  <sheetProtection formatCells="0" formatColumns="0" formatRows="0" insertColumns="0" insertRows="0" insertHyperlinks="0" deleteColumns="0" deleteRows="0" sort="0" autoFilter="0" pivotTables="0"/>
  <mergeCells count="51">
    <mergeCell ref="B1:C1"/>
    <mergeCell ref="D9:K9"/>
    <mergeCell ref="G19:H19"/>
    <mergeCell ref="D21:I21"/>
    <mergeCell ref="D23:E23"/>
    <mergeCell ref="D1:I1"/>
    <mergeCell ref="E16:P16"/>
    <mergeCell ref="A2:Z3"/>
    <mergeCell ref="J10:P11"/>
    <mergeCell ref="W14:Y14"/>
    <mergeCell ref="S1:Y1"/>
    <mergeCell ref="D5:J6"/>
    <mergeCell ref="Q17:V17"/>
    <mergeCell ref="W17:Y17"/>
    <mergeCell ref="Q14:S14"/>
    <mergeCell ref="N7:Y7"/>
    <mergeCell ref="M6:Y6"/>
    <mergeCell ref="K5:L6"/>
    <mergeCell ref="N8:Y8"/>
    <mergeCell ref="E15:P15"/>
    <mergeCell ref="E11:I11"/>
    <mergeCell ref="W13:Y13"/>
    <mergeCell ref="E14:P14"/>
    <mergeCell ref="T15:V15"/>
    <mergeCell ref="W15:Y15"/>
    <mergeCell ref="N43:Y43"/>
    <mergeCell ref="D35:N35"/>
    <mergeCell ref="M21:Y21"/>
    <mergeCell ref="M40:Y40"/>
    <mergeCell ref="I37:S38"/>
    <mergeCell ref="N23:Y23"/>
    <mergeCell ref="N42:Y42"/>
    <mergeCell ref="G31:H31"/>
    <mergeCell ref="D41:K41"/>
    <mergeCell ref="H37:H38"/>
    <mergeCell ref="N22:Y22"/>
    <mergeCell ref="D43:E43"/>
    <mergeCell ref="N41:Y41"/>
    <mergeCell ref="A33:Z33"/>
    <mergeCell ref="W16:Y16"/>
    <mergeCell ref="E13:P13"/>
    <mergeCell ref="Q16:S16"/>
    <mergeCell ref="C15:D15"/>
    <mergeCell ref="C13:D13"/>
    <mergeCell ref="T16:V16"/>
    <mergeCell ref="T13:V13"/>
    <mergeCell ref="C14:D14"/>
    <mergeCell ref="T14:V14"/>
    <mergeCell ref="C16:D16"/>
    <mergeCell ref="Q13:S13"/>
    <mergeCell ref="Q15:S15"/>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2021-07-19T08:32:34Z</dcterms:modified>
</cp:coreProperties>
</file>