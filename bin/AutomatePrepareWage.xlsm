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C:\Users\user\Desktop\WorkSpace\1.ToDo\工賃準備自動化\WorkDir\bin\"/>
    </mc:Choice>
  </mc:AlternateContent>
  <xr:revisionPtr revIDLastSave="0" documentId="13_ncr:1_{9D5CC103-418E-46EE-AB74-A4CD179B0C62}" xr6:coauthVersionLast="46" xr6:coauthVersionMax="46" xr10:uidLastSave="{00000000-0000-0000-0000-000000000000}"/>
  <bookViews>
    <workbookView xWindow="-6180" yWindow="1620" windowWidth="12555" windowHeight="8145" xr2:uid="{00000000-000D-0000-FFFF-FFFF00000000}"/>
  </bookViews>
  <sheets>
    <sheet name="InvoiceData" sheetId="1" r:id="rId1"/>
    <sheet name="Detail" sheetId="5" r:id="rId2"/>
    <sheet name="Receipt" sheetId="6" r:id="rId3"/>
    <sheet name="Lunch" sheetId="7" r:id="rId4"/>
  </sheets>
  <functionGroups builtInGroupCount="19"/>
  <definedNames>
    <definedName name="_xlnm.Print_Area" localSheetId="1">Detail!$C$1:$K$26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 i="1" l="1"/>
  <c r="A2" i="1"/>
  <c r="E5" i="5" l="1" a="1"/>
  <c r="E5" i="5" s="1"/>
  <c r="U8" i="6" a="1"/>
  <c r="U8" i="6" s="1"/>
  <c r="D5" i="7" a="1"/>
  <c r="D5" i="7" s="1"/>
  <c r="W14" i="7"/>
  <c r="W17" i="7" s="1"/>
  <c r="I37" i="7" s="1"/>
  <c r="D35" i="7" a="1"/>
  <c r="D35" i="7" s="1"/>
  <c r="T20" i="6"/>
  <c r="T30" i="6" s="1"/>
  <c r="T21" i="6"/>
  <c r="H8" i="5"/>
  <c r="G9" i="5"/>
  <c r="G17" i="5"/>
  <c r="G21" i="5" s="1"/>
  <c r="J10" i="7" l="1"/>
  <c r="G16" i="5"/>
  <c r="G22"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<sst xmlns="http://schemas.openxmlformats.org/spreadsheetml/2006/main" count="125" uniqueCount="107">
  <si>
    <t>工　賃　支　給　明　細　書</t>
  </si>
  <si>
    <t>令和</t>
    <rPh sb="0" eb="2">
      <t>レ</t>
    </rPh>
    <phoneticPr fontId="5"/>
  </si>
  <si>
    <t>年</t>
    <phoneticPr fontId="5"/>
  </si>
  <si>
    <t>月分</t>
    <phoneticPr fontId="5"/>
  </si>
  <si>
    <t>支給日：</t>
    <phoneticPr fontId="5"/>
  </si>
  <si>
    <t>令和</t>
  </si>
  <si>
    <t>年</t>
  </si>
  <si>
    <t>月</t>
  </si>
  <si>
    <t>日</t>
  </si>
  <si>
    <t>氏名</t>
  </si>
  <si>
    <t>殿</t>
    <phoneticPr fontId="5"/>
  </si>
  <si>
    <t>支
給
額</t>
  </si>
  <si>
    <t>支　給　額　　（円）</t>
  </si>
  <si>
    <t>基本給</t>
  </si>
  <si>
    <t>日分</t>
    <phoneticPr fontId="5"/>
  </si>
  <si>
    <t>円</t>
  </si>
  <si>
    <t>意欲手当</t>
  </si>
  <si>
    <t>追加工賃</t>
    <rPh sb="0" eb="2">
      <t>ツイカ</t>
    </rPh>
    <rPh sb="2" eb="4">
      <t>コウチン</t>
    </rPh>
    <phoneticPr fontId="5"/>
  </si>
  <si>
    <t>合計①</t>
  </si>
  <si>
    <t>控
除
額</t>
  </si>
  <si>
    <t>昼食</t>
  </si>
  <si>
    <t>食分</t>
  </si>
  <si>
    <t>合計②</t>
  </si>
  <si>
    <t>円</t>
    <phoneticPr fontId="6"/>
  </si>
  <si>
    <t>差引支給額（①-②）</t>
  </si>
  <si>
    <t>就労継続支援B型事業所　CW豊平</t>
    <phoneticPr fontId="5"/>
  </si>
  <si>
    <t>事業主氏名　郷頭　隼人</t>
    <phoneticPr fontId="5"/>
  </si>
  <si>
    <t>備考</t>
  </si>
  <si>
    <t>合計金額</t>
  </si>
  <si>
    <t>追加工賃</t>
    <rPh sb="0" eb="2">
      <t>ツイカ</t>
    </rPh>
    <rPh sb="2" eb="4">
      <t>コウチン</t>
    </rPh>
    <phoneticPr fontId="14"/>
  </si>
  <si>
    <t>意欲手当</t>
    <phoneticPr fontId="14"/>
  </si>
  <si>
    <t>工賃</t>
  </si>
  <si>
    <t>備  考</t>
  </si>
  <si>
    <t>金  額</t>
  </si>
  <si>
    <t>単  価</t>
  </si>
  <si>
    <t>日数</t>
  </si>
  <si>
    <t>種目</t>
  </si>
  <si>
    <t>受領印</t>
  </si>
  <si>
    <t>下記、正に受領いたしました。</t>
  </si>
  <si>
    <t>御中</t>
  </si>
  <si>
    <t>就労継続支援B型　CW豊平</t>
    <rPh sb="0" eb="2">
      <t>シュウロウ</t>
    </rPh>
    <rPh sb="2" eb="4">
      <t>ケイゾク</t>
    </rPh>
    <rPh sb="4" eb="6">
      <t>シエン</t>
    </rPh>
    <rPh sb="6" eb="8">
      <t>ビーガタ</t>
    </rPh>
    <rPh sb="11" eb="13">
      <t>トヨヒラ</t>
    </rPh>
    <phoneticPr fontId="14"/>
  </si>
  <si>
    <t>受領日：</t>
  </si>
  <si>
    <t>受　領　書</t>
    <phoneticPr fontId="14"/>
  </si>
  <si>
    <t>電話：011-887-0306</t>
    <phoneticPr fontId="5"/>
  </si>
  <si>
    <t>日</t>
    <rPh sb="0" eb="1">
      <t>ニチ</t>
    </rPh>
    <phoneticPr fontId="14"/>
  </si>
  <si>
    <t>月</t>
    <rPh sb="0" eb="1">
      <t>ガツ</t>
    </rPh>
    <phoneticPr fontId="14"/>
  </si>
  <si>
    <t>年</t>
    <rPh sb="0" eb="1">
      <t>ネン</t>
    </rPh>
    <phoneticPr fontId="14"/>
  </si>
  <si>
    <t>コネクトグループ株式会社</t>
    <rPh sb="8" eb="12">
      <t>カブシキガイシャ</t>
    </rPh>
    <phoneticPr fontId="5"/>
  </si>
  <si>
    <t>事業所名：継続支援 コネクトワークス豊平</t>
    <rPh sb="0" eb="3">
      <t>ジギョウショ</t>
    </rPh>
    <rPh sb="3" eb="4">
      <t>メイ</t>
    </rPh>
    <rPh sb="5" eb="7">
      <t>ケイゾク</t>
    </rPh>
    <rPh sb="7" eb="9">
      <t>シエン</t>
    </rPh>
    <rPh sb="18" eb="20">
      <t>トヨヒラ</t>
    </rPh>
    <phoneticPr fontId="5"/>
  </si>
  <si>
    <t>上記、正に領収しました。</t>
    <phoneticPr fontId="5"/>
  </si>
  <si>
    <t>札幌市豊平区美園10条7丁目2-1　ナリッシュ美園2F</t>
    <phoneticPr fontId="5"/>
  </si>
  <si>
    <t>￥</t>
    <phoneticPr fontId="14"/>
  </si>
  <si>
    <t>様</t>
    <phoneticPr fontId="14"/>
  </si>
  <si>
    <t>食事代領収書（控）</t>
    <rPh sb="0" eb="3">
      <t>ショクジダイ</t>
    </rPh>
    <rPh sb="3" eb="4">
      <t>リョウ</t>
    </rPh>
    <rPh sb="4" eb="5">
      <t>オサム</t>
    </rPh>
    <rPh sb="5" eb="6">
      <t>ショ</t>
    </rPh>
    <phoneticPr fontId="14"/>
  </si>
  <si>
    <t>　</t>
    <phoneticPr fontId="5"/>
  </si>
  <si>
    <t>電話：011-200-0332</t>
    <rPh sb="0" eb="2">
      <t>デンワ</t>
    </rPh>
    <phoneticPr fontId="5"/>
  </si>
  <si>
    <t>コネクトグループ株式会社</t>
    <rPh sb="8" eb="12">
      <t>カブシキカイシャ</t>
    </rPh>
    <phoneticPr fontId="5"/>
  </si>
  <si>
    <t>札幌市中央区北2条東1丁目2-2プラチナ札幌ビル3F</t>
    <rPh sb="20" eb="22">
      <t>サッポロ</t>
    </rPh>
    <phoneticPr fontId="5"/>
  </si>
  <si>
    <t>小計</t>
  </si>
  <si>
    <t>昼食代</t>
    <rPh sb="0" eb="2">
      <t>チュウショク</t>
    </rPh>
    <phoneticPr fontId="5"/>
  </si>
  <si>
    <t>金額</t>
  </si>
  <si>
    <t>単価</t>
  </si>
  <si>
    <t>数量</t>
  </si>
  <si>
    <t>内容</t>
    <rPh sb="0" eb="1">
      <t>ウチ</t>
    </rPh>
    <rPh sb="1" eb="2">
      <t>カタチ</t>
    </rPh>
    <phoneticPr fontId="5"/>
  </si>
  <si>
    <t>No</t>
    <phoneticPr fontId="5"/>
  </si>
  <si>
    <t>下記の通りご請求申し上げます。</t>
  </si>
  <si>
    <t>電話：011-887-0306</t>
    <rPh sb="0" eb="2">
      <t>デンワ</t>
    </rPh>
    <phoneticPr fontId="5"/>
  </si>
  <si>
    <t>事業所名：継続支援 コネクトワークス豊平</t>
    <rPh sb="0" eb="3">
      <t>ジギョウショ</t>
    </rPh>
    <rPh sb="3" eb="4">
      <t>ナ</t>
    </rPh>
    <rPh sb="18" eb="20">
      <t>トヨヒラ</t>
    </rPh>
    <phoneticPr fontId="5"/>
  </si>
  <si>
    <t>札幌市豊平区美園10条7丁目2-1　ナリッシュ美園2F</t>
    <rPh sb="3" eb="6">
      <t>トヨヒラク</t>
    </rPh>
    <rPh sb="6" eb="8">
      <t>ミソノ</t>
    </rPh>
    <rPh sb="10" eb="11">
      <t>ジョウ</t>
    </rPh>
    <rPh sb="12" eb="14">
      <t>チョウメ</t>
    </rPh>
    <rPh sb="23" eb="25">
      <t>ミソノ</t>
    </rPh>
    <phoneticPr fontId="5"/>
  </si>
  <si>
    <t>様</t>
  </si>
  <si>
    <t>請求書 兼 領収書</t>
    <rPh sb="2" eb="3">
      <t>ケン</t>
    </rPh>
    <rPh sb="4" eb="5">
      <t>ケン</t>
    </rPh>
    <rPh sb="6" eb="9">
      <t>リョウシュウショ</t>
    </rPh>
    <phoneticPr fontId="5"/>
  </si>
  <si>
    <t>発行日</t>
    <rPh sb="0" eb="3">
      <t>ハッコウビ</t>
    </rPh>
    <phoneticPr fontId="1"/>
  </si>
  <si>
    <t>佐藤　絵利　様</t>
    <rPh sb="0" eb="2">
      <t>サトウ</t>
    </rPh>
    <rPh sb="3" eb="5">
      <t>エリ</t>
    </rPh>
    <rPh sb="6" eb="7">
      <t>サマ</t>
    </rPh>
    <phoneticPr fontId="1"/>
  </si>
  <si>
    <t>菊地　正太　様</t>
    <rPh sb="0" eb="2">
      <t>キクチ</t>
    </rPh>
    <rPh sb="3" eb="5">
      <t>ショウタ</t>
    </rPh>
    <rPh sb="6" eb="7">
      <t>サマ</t>
    </rPh>
    <phoneticPr fontId="1"/>
  </si>
  <si>
    <t>犬塚　春香　様</t>
  </si>
  <si>
    <t>岡本　慎太郎　様</t>
  </si>
  <si>
    <t>杉原　忠雄　様</t>
    <rPh sb="0" eb="2">
      <t>スギハラ</t>
    </rPh>
    <rPh sb="3" eb="5">
      <t>タダオ</t>
    </rPh>
    <rPh sb="6" eb="7">
      <t>サマ</t>
    </rPh>
    <phoneticPr fontId="1"/>
  </si>
  <si>
    <t>吉田　文昭　様</t>
    <rPh sb="0" eb="2">
      <t>ヨシダ</t>
    </rPh>
    <rPh sb="3" eb="5">
      <t>フミアキ</t>
    </rPh>
    <rPh sb="6" eb="7">
      <t>サマ</t>
    </rPh>
    <phoneticPr fontId="1"/>
  </si>
  <si>
    <t>阿部　未来　様</t>
    <rPh sb="0" eb="2">
      <t>アベ</t>
    </rPh>
    <rPh sb="3" eb="5">
      <t>ミク</t>
    </rPh>
    <rPh sb="6" eb="7">
      <t>サマ</t>
    </rPh>
    <phoneticPr fontId="1"/>
  </si>
  <si>
    <t>宮原　俊輔　様</t>
    <rPh sb="0" eb="2">
      <t>ミヤハラ</t>
    </rPh>
    <rPh sb="3" eb="5">
      <t>シュンスケ</t>
    </rPh>
    <rPh sb="6" eb="7">
      <t>サマ</t>
    </rPh>
    <phoneticPr fontId="1"/>
  </si>
  <si>
    <t>富田　律子　様</t>
    <rPh sb="0" eb="2">
      <t>トミタ</t>
    </rPh>
    <rPh sb="3" eb="5">
      <t>リツコ</t>
    </rPh>
    <rPh sb="6" eb="7">
      <t>サマ</t>
    </rPh>
    <phoneticPr fontId="1"/>
  </si>
  <si>
    <t>角道　くるみ　様</t>
    <rPh sb="0" eb="2">
      <t>カクミチ</t>
    </rPh>
    <rPh sb="7" eb="8">
      <t>サマ</t>
    </rPh>
    <phoneticPr fontId="1"/>
  </si>
  <si>
    <t>高畠　彩花　様</t>
    <rPh sb="0" eb="2">
      <t>タカバタケ</t>
    </rPh>
    <rPh sb="3" eb="5">
      <t>アヤカ</t>
    </rPh>
    <rPh sb="6" eb="7">
      <t>サマ</t>
    </rPh>
    <phoneticPr fontId="1"/>
  </si>
  <si>
    <t>遠山　真由美　様</t>
    <rPh sb="0" eb="2">
      <t>トオヤマ</t>
    </rPh>
    <rPh sb="3" eb="6">
      <t>マユミ</t>
    </rPh>
    <rPh sb="7" eb="8">
      <t>サマ</t>
    </rPh>
    <phoneticPr fontId="1"/>
  </si>
  <si>
    <t>大田　紗希　様</t>
    <rPh sb="0" eb="2">
      <t>オオタ</t>
    </rPh>
    <rPh sb="3" eb="5">
      <t>サキ</t>
    </rPh>
    <rPh sb="6" eb="7">
      <t>サマ</t>
    </rPh>
    <phoneticPr fontId="1"/>
  </si>
  <si>
    <t>岡本　恭長　様</t>
    <rPh sb="0" eb="2">
      <t>オカモト</t>
    </rPh>
    <rPh sb="3" eb="5">
      <t>ユキナガ</t>
    </rPh>
    <rPh sb="6" eb="7">
      <t>サマ</t>
    </rPh>
    <phoneticPr fontId="1"/>
  </si>
  <si>
    <t>松井　正洋　様</t>
  </si>
  <si>
    <t>富田　綾乃　様</t>
  </si>
  <si>
    <t>東野　愛実　様</t>
  </si>
  <si>
    <t>生島　華奈　様</t>
  </si>
  <si>
    <t>谷口　直幹　様</t>
  </si>
  <si>
    <t>花井　淳　様</t>
  </si>
  <si>
    <t>芳賀　直樹　様</t>
  </si>
  <si>
    <t>中道　裕也　様</t>
  </si>
  <si>
    <t>向中野　澄子　様</t>
  </si>
  <si>
    <t>月分</t>
    <rPh sb="0" eb="2">
      <t>ガツブン</t>
    </rPh>
    <phoneticPr fontId="1"/>
  </si>
  <si>
    <t>支給日入力：</t>
    <rPh sb="0" eb="3">
      <t>シキュウビ</t>
    </rPh>
    <rPh sb="3" eb="5">
      <t>ニュウリョク</t>
    </rPh>
    <phoneticPr fontId="1"/>
  </si>
  <si>
    <t>利用者名</t>
  </si>
  <si>
    <t>諸手当</t>
  </si>
  <si>
    <t>基本工賃</t>
    <rPh sb="0" eb="2">
      <t>キホン</t>
    </rPh>
    <rPh sb="2" eb="4">
      <t>コウチン</t>
    </rPh>
    <phoneticPr fontId="1"/>
  </si>
  <si>
    <t>①小計</t>
    <rPh sb="1" eb="3">
      <t>ショウケイ</t>
    </rPh>
    <phoneticPr fontId="1"/>
  </si>
  <si>
    <t>昼食回数</t>
    <rPh sb="0" eb="2">
      <t>チュウショク</t>
    </rPh>
    <rPh sb="2" eb="4">
      <t>カイスウ</t>
    </rPh>
    <phoneticPr fontId="1"/>
  </si>
  <si>
    <t>③自己負担</t>
    <rPh sb="1" eb="5">
      <t>ジコフタン</t>
    </rPh>
    <phoneticPr fontId="1"/>
  </si>
  <si>
    <t>追加工賃</t>
  </si>
  <si>
    <t>②昼食代</t>
  </si>
  <si>
    <t>差引支払額
（①-②-③）</t>
  </si>
  <si>
    <t>水留　小春　様</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</si>
</sst>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quot;¥&quot;#,##0_);[Red]\(&quot;¥&quot;#,##0\)"/>
    <numFmt numFmtId="177" formatCode="&quot;¥ &quot;#,##0_);[Red]&quot;¥ -&quot;#,##0_)"/>
    <numFmt numFmtId="178" formatCode="__@__\)"/>
    <numFmt numFmtId="179" formatCode="#,##0_);[Red]\-#,##0_)"/>
    <numFmt numFmtId="180" formatCode="#,##0_)"/>
    <numFmt numFmtId="181" formatCode="\¥#,##0;&quot;¥-&quot;#,##0"/>
    <numFmt numFmtId="182" formatCode="[$-F800]dddd\,\ mmmm\ dd\,\ yyyy"/>
    <numFmt numFmtId="186" formatCode="0_);[Red]\(0\)"/>
  </numFmts>
  <fonts count="39">
    <font>
      <sz val="11"/>
      <color theme="1"/>
      <name val="Yu Gothic"/>
      <family val="2"/>
      <scheme val="minor"/>
    </font>
    <font>
      <sz val="6"/>
      <name val="Yu Gothic"/>
      <family val="3"/>
      <charset val="128"/>
      <scheme val="minor"/>
    </font>
    <font>
      <sz val="12"/>
      <color rgb="FF000000"/>
      <name val="ＭＳ Ｐ明朝"/>
      <family val="1"/>
      <charset val="128"/>
    </font>
    <font>
      <b/>
      <sz val="14"/>
      <color rgb="FF000000"/>
      <name val="ＭＳ Ｐ明朝"/>
      <family val="1"/>
      <charset val="128"/>
    </font>
    <font>
      <sz val="12"/>
      <color theme="1"/>
      <name val="ＭＳ Ｐ明朝"/>
      <family val="1"/>
      <charset val="128"/>
    </font>
    <font>
      <sz val="6"/>
      <name val="ＭＳ Ｐゴシック"/>
      <family val="3"/>
      <charset val="128"/>
    </font>
    <font>
      <sz val="6"/>
      <name val="Yu Gothic"/>
      <family val="3"/>
      <charset val="128"/>
    </font>
    <font>
      <sz val="11"/>
      <color theme="1"/>
      <name val="Yu Gothic"/>
      <family val="3"/>
      <charset val="128"/>
      <scheme val="minor"/>
    </font>
    <font>
      <b/>
      <sz val="12"/>
      <color rgb="FF000000"/>
      <name val="ＭＳ Ｐ明朝"/>
      <family val="1"/>
      <charset val="128"/>
    </font>
    <font>
      <sz val="11"/>
      <color rgb="FF000000"/>
      <name val="ＭＳ Ｐ明朝"/>
      <family val="1"/>
      <charset val="128"/>
    </font>
    <font>
      <sz val="11"/>
      <name val="ＭＳ 明朝"/>
      <family val="1"/>
      <charset val="128"/>
    </font>
    <font>
      <sz val="11"/>
      <name val="ＭＳ ゴシック"/>
      <family val="3"/>
      <charset val="128"/>
    </font>
    <font>
      <b/>
      <sz val="14"/>
      <name val="ＭＳ ゴシック"/>
      <family val="3"/>
      <charset val="128"/>
    </font>
    <font>
      <sz val="11"/>
      <color indexed="9"/>
      <name val="ＭＳ ゴシック"/>
      <family val="3"/>
      <charset val="128"/>
    </font>
    <font>
      <sz val="6"/>
      <name val="ＭＳ 明朝"/>
      <family val="1"/>
      <charset val="128"/>
    </font>
    <font>
      <sz val="14"/>
      <name val="ＭＳ ゴシック"/>
      <family val="3"/>
      <charset val="128"/>
    </font>
    <font>
      <sz val="11"/>
      <name val="ＭＳ Ｐゴシック"/>
      <family val="3"/>
      <charset val="128"/>
    </font>
    <font>
      <sz val="11"/>
      <name val="ＭＳ Ｐ明朝"/>
      <family val="1"/>
      <charset val="128"/>
    </font>
    <font>
      <sz val="14"/>
      <name val="ＭＳ 明朝"/>
      <family val="1"/>
      <charset val="128"/>
    </font>
    <font>
      <sz val="24"/>
      <name val="ＭＳ ゴシック"/>
      <family val="3"/>
      <charset val="128"/>
    </font>
    <font>
      <b/>
      <sz val="12"/>
      <name val="ＭＳ Ｐ明朝"/>
      <family val="1"/>
      <charset val="128"/>
    </font>
    <font>
      <sz val="11"/>
      <color theme="0" tint="-0.499984740745262"/>
      <name val="ＭＳ Ｐ明朝"/>
      <family val="1"/>
      <charset val="128"/>
    </font>
    <font>
      <b/>
      <sz val="11"/>
      <name val="ＭＳ Ｐ明朝"/>
      <family val="1"/>
      <charset val="128"/>
    </font>
    <font>
      <sz val="10"/>
      <name val="ＭＳ Ｐ明朝"/>
      <family val="1"/>
      <charset val="128"/>
    </font>
    <font>
      <b/>
      <sz val="28"/>
      <name val="ＭＳ Ｐ明朝"/>
      <family val="1"/>
      <charset val="128"/>
    </font>
    <font>
      <b/>
      <sz val="20"/>
      <name val="ＭＳ Ｐ明朝"/>
      <family val="1"/>
      <charset val="128"/>
    </font>
    <font>
      <sz val="14"/>
      <name val="ＭＳ Ｐ明朝"/>
      <family val="1"/>
      <charset val="128"/>
    </font>
    <font>
      <sz val="16"/>
      <name val="ＭＳ Ｐ明朝"/>
      <family val="1"/>
      <charset val="128"/>
    </font>
    <font>
      <b/>
      <sz val="14"/>
      <name val="ＭＳ Ｐ明朝"/>
      <family val="1"/>
      <charset val="128"/>
    </font>
    <font>
      <b/>
      <sz val="12"/>
      <color theme="0" tint="-0.499984740745262"/>
      <name val="ＭＳ Ｐ明朝"/>
      <family val="1"/>
      <charset val="128"/>
    </font>
    <font>
      <b/>
      <sz val="12"/>
      <name val="ＭＳ 明朝"/>
      <family val="1"/>
      <charset val="128"/>
    </font>
    <font>
      <sz val="11"/>
      <color rgb="FFFF0000"/>
      <name val="ＭＳ Ｐ明朝"/>
      <family val="1"/>
      <charset val="128"/>
    </font>
    <font>
      <sz val="12"/>
      <name val="ＭＳ Ｐ明朝"/>
      <family val="1"/>
      <charset val="128"/>
    </font>
    <font>
      <b/>
      <u/>
      <sz val="11"/>
      <name val="ＭＳ Ｐ明朝"/>
      <family val="1"/>
      <charset val="128"/>
    </font>
    <font>
      <sz val="11"/>
      <color indexed="10"/>
      <name val="ＭＳ Ｐ明朝"/>
      <family val="1"/>
      <charset val="128"/>
    </font>
    <font>
      <b/>
      <sz val="18"/>
      <name val="ＭＳ Ｐ明朝"/>
      <family val="1"/>
      <charset val="128"/>
    </font>
    <font>
      <sz val="13"/>
      <name val="ＭＳ Ｐ明朝"/>
      <family val="1"/>
      <charset val="128"/>
    </font>
    <font>
      <b/>
      <sz val="16"/>
      <name val="ＭＳ Ｐ明朝"/>
      <family val="1"/>
      <charset val="128"/>
    </font>
    <font>
      <sz val="9"/>
      <name val="ＭＳ Ｐ明朝"/>
      <family val="1"/>
      <charset val="128"/>
    </font>
  </fonts>
  <fills count="7">
    <fill>
      <patternFill patternType="none"/>
    </fill>
    <fill>
      <patternFill patternType="gray125"/>
    </fill>
    <fill>
      <patternFill patternType="solid">
        <fgColor rgb="FFFFFF00"/>
        <bgColor indexed="64"/>
      </patternFill>
    </fill>
    <fill>
      <patternFill patternType="solid">
        <fgColor indexed="8"/>
        <bgColor indexed="58"/>
      </patternFill>
    </fill>
    <fill>
      <patternFill patternType="solid">
        <fgColor indexed="22"/>
        <bgColor indexed="31"/>
      </patternFill>
    </fill>
    <fill>
      <patternFill patternType="solid">
        <fgColor theme="0" tint="-4.9989318521683403E-2"/>
        <bgColor indexed="31"/>
      </patternFill>
    </fill>
    <fill>
      <patternFill patternType="solid">
        <fgColor rgb="FFFFFF00"/>
        <bgColor indexed="31"/>
      </patternFill>
    </fill>
  </fills>
  <borders count="54">
    <border>
      <left/>
      <right/>
      <top/>
      <bottom/>
      <diagonal/>
    </border>
    <border>
      <left/>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right/>
      <top style="thin">
        <color indexed="64"/>
      </top>
      <bottom style="double">
        <color indexed="64"/>
      </bottom>
      <diagonal/>
    </border>
    <border>
      <left/>
      <right style="thin">
        <color rgb="FF000000"/>
      </right>
      <top style="thin">
        <color indexed="64"/>
      </top>
      <bottom style="double">
        <color indexed="64"/>
      </bottom>
      <diagonal/>
    </border>
    <border>
      <left style="thin">
        <color rgb="FF000000"/>
      </left>
      <right/>
      <top style="thin">
        <color indexed="64"/>
      </top>
      <bottom style="double">
        <color rgb="FF000000"/>
      </bottom>
      <diagonal/>
    </border>
    <border>
      <left/>
      <right/>
      <top style="thin">
        <color indexed="64"/>
      </top>
      <bottom style="double">
        <color rgb="FF000000"/>
      </bottom>
      <diagonal/>
    </border>
    <border>
      <left/>
      <right style="thin">
        <color indexed="64"/>
      </right>
      <top style="thin">
        <color indexed="64"/>
      </top>
      <bottom style="double">
        <color rgb="FF000000"/>
      </bottom>
      <diagonal/>
    </border>
    <border>
      <left style="thin">
        <color indexed="64"/>
      </left>
      <right style="medium">
        <color indexed="64"/>
      </right>
      <top style="thin">
        <color indexed="64"/>
      </top>
      <bottom style="double">
        <color indexed="64"/>
      </bottom>
      <diagonal/>
    </border>
    <border>
      <left style="medium">
        <color indexed="64"/>
      </left>
      <right style="medium">
        <color indexed="64"/>
      </right>
      <top/>
      <bottom style="medium">
        <color rgb="FF000000"/>
      </bottom>
      <diagonal/>
    </border>
    <border>
      <left/>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top style="double">
        <color rgb="FF000000"/>
      </top>
      <bottom style="medium">
        <color indexed="64"/>
      </bottom>
      <diagonal/>
    </border>
    <border>
      <left/>
      <right/>
      <top style="double">
        <color rgb="FF000000"/>
      </top>
      <bottom style="medium">
        <color indexed="64"/>
      </bottom>
      <diagonal/>
    </border>
    <border>
      <left/>
      <right style="thin">
        <color indexed="64"/>
      </right>
      <top style="double">
        <color rgb="FF000000"/>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rgb="FF000000"/>
      </top>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medium">
        <color indexed="64"/>
      </right>
      <top/>
      <bottom style="medium">
        <color indexed="64"/>
      </bottom>
      <diagonal/>
    </border>
    <border>
      <left style="thin">
        <color rgb="FF000000"/>
      </left>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style="hair">
        <color indexed="8"/>
      </top>
      <bottom/>
      <diagonal/>
    </border>
    <border>
      <left/>
      <right/>
      <top style="hair">
        <color indexed="8"/>
      </top>
      <bottom style="hair">
        <color indexed="8"/>
      </bottom>
      <diagonal/>
    </border>
    <border>
      <left/>
      <right/>
      <top/>
      <bottom style="hair">
        <color indexed="8"/>
      </bottom>
      <diagonal/>
    </border>
    <border>
      <left style="thin">
        <color indexed="8"/>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9"/>
      </left>
      <right style="thin">
        <color indexed="9"/>
      </right>
      <top style="thin">
        <color indexed="9"/>
      </top>
      <bottom/>
      <diagonal/>
    </border>
    <border>
      <left/>
      <right/>
      <top/>
      <bottom style="thin">
        <color indexed="8"/>
      </bottom>
      <diagonal/>
    </border>
    <border>
      <left/>
      <right/>
      <top/>
      <bottom style="medium">
        <color indexed="64"/>
      </bottom>
      <diagonal/>
    </border>
    <border>
      <left/>
      <right/>
      <top/>
      <bottom style="dotted">
        <color indexed="64"/>
      </bottom>
      <diagonal/>
    </border>
    <border>
      <left/>
      <right style="thin">
        <color indexed="64"/>
      </right>
      <top style="thin">
        <color indexed="8"/>
      </top>
      <bottom style="thin">
        <color indexed="8"/>
      </bottom>
      <diagonal/>
    </border>
    <border>
      <left/>
      <right style="thin">
        <color indexed="64"/>
      </right>
      <top/>
      <bottom/>
      <diagonal/>
    </border>
    <border>
      <left/>
      <right/>
      <top/>
      <bottom style="medium">
        <color indexed="8"/>
      </bottom>
      <diagonal/>
    </border>
  </borders>
  <cellStyleXfs count="8">
    <xf numFmtId="0" fontId="0" fillId="0" borderId="0"/>
    <xf numFmtId="0" fontId="7" fillId="0" borderId="0">
      <alignment vertical="center"/>
    </xf>
    <xf numFmtId="38" fontId="7" fillId="0" borderId="0" applyFont="0" applyFill="0" applyBorder="0" applyAlignment="0" applyProtection="0">
      <alignment vertical="center"/>
    </xf>
    <xf numFmtId="0" fontId="10" fillId="0" borderId="0">
      <alignment vertical="center"/>
    </xf>
    <xf numFmtId="38" fontId="10" fillId="0" borderId="0" applyFill="0" applyBorder="0" applyProtection="0">
      <alignment vertical="center"/>
    </xf>
    <xf numFmtId="0" fontId="16" fillId="0" borderId="0"/>
    <xf numFmtId="0" fontId="16" fillId="0" borderId="0"/>
    <xf numFmtId="38" fontId="16" fillId="0" borderId="0" applyFill="0" applyBorder="0" applyAlignment="0" applyProtection="0"/>
  </cellStyleXfs>
  <cellXfs count="190">
    <xf numFmtId="0" fontId="0" fillId="0" borderId="0" xfId="0"/>
    <xf numFmtId="0" fontId="4" fillId="0" borderId="0" xfId="1" applyFont="1">
      <alignment vertical="center"/>
    </xf>
    <xf numFmtId="0" fontId="2" fillId="0" borderId="0" xfId="1" applyFont="1">
      <alignment vertical="center"/>
    </xf>
    <xf numFmtId="0" fontId="2" fillId="0" borderId="0" xfId="1" applyFont="1" applyAlignment="1"/>
    <xf numFmtId="0" fontId="9" fillId="0" borderId="0" xfId="1" applyFont="1">
      <alignment vertical="center"/>
    </xf>
    <xf numFmtId="0" fontId="2" fillId="0" borderId="38" xfId="1" applyFont="1" applyBorder="1" applyAlignment="1">
      <alignment horizontal="center" vertical="center"/>
    </xf>
    <xf numFmtId="0" fontId="2" fillId="0" borderId="28" xfId="1" applyFont="1" applyBorder="1" applyAlignment="1">
      <alignment horizontal="center" vertical="center"/>
    </xf>
    <xf numFmtId="0" fontId="2" fillId="0" borderId="21" xfId="1" applyFont="1" applyBorder="1" applyAlignment="1" applyProtection="1">
      <alignment horizontal="center" vertical="center"/>
      <protection locked="0"/>
    </xf>
    <xf numFmtId="0" fontId="2" fillId="0" borderId="32" xfId="1" applyFont="1" applyBorder="1" applyAlignment="1" applyProtection="1">
      <alignment horizontal="center" vertical="center"/>
      <protection locked="0"/>
    </xf>
    <xf numFmtId="0" fontId="2" fillId="0" borderId="30" xfId="1" applyFont="1" applyBorder="1" applyAlignment="1">
      <alignment horizontal="center" vertical="center"/>
    </xf>
    <xf numFmtId="0" fontId="2" fillId="0" borderId="10" xfId="1" applyFont="1" applyBorder="1" applyAlignment="1">
      <alignment horizontal="center" vertical="center"/>
    </xf>
    <xf numFmtId="0" fontId="2" fillId="0" borderId="6" xfId="1" applyFont="1" applyBorder="1" applyAlignment="1">
      <alignment horizontal="center" vertical="center"/>
    </xf>
    <xf numFmtId="0" fontId="2" fillId="0" borderId="11" xfId="1" applyFont="1" applyBorder="1" applyAlignment="1" applyProtection="1">
      <alignment horizontal="center" vertical="center"/>
      <protection locked="0"/>
    </xf>
    <xf numFmtId="0" fontId="2" fillId="0" borderId="11" xfId="1" applyFont="1" applyBorder="1" applyAlignment="1">
      <alignment horizontal="center" vertical="center"/>
    </xf>
    <xf numFmtId="0" fontId="2" fillId="0" borderId="8" xfId="1" applyFont="1" applyBorder="1" applyAlignment="1">
      <alignment horizontal="right" vertical="center"/>
    </xf>
    <xf numFmtId="0" fontId="2" fillId="0" borderId="0" xfId="1" applyFont="1" applyAlignment="1">
      <alignment horizontal="center" vertical="center"/>
    </xf>
    <xf numFmtId="0" fontId="2" fillId="0" borderId="0" xfId="1" applyFont="1" applyAlignment="1" applyProtection="1">
      <alignment horizontal="center" vertical="center"/>
      <protection locked="0"/>
    </xf>
    <xf numFmtId="0" fontId="3" fillId="0" borderId="0" xfId="1" applyFont="1" applyAlignment="1">
      <alignment horizontal="center" vertical="center"/>
    </xf>
    <xf numFmtId="0" fontId="2" fillId="0" borderId="0" xfId="1" applyFont="1" applyAlignment="1">
      <alignment horizontal="left"/>
    </xf>
    <xf numFmtId="0" fontId="2" fillId="0" borderId="0" xfId="1" applyFont="1" applyAlignment="1">
      <alignment horizontal="center"/>
    </xf>
    <xf numFmtId="0" fontId="2" fillId="2" borderId="8" xfId="1" applyFont="1" applyFill="1" applyBorder="1" applyAlignment="1" applyProtection="1">
      <alignment horizontal="center" vertical="center"/>
      <protection locked="0"/>
    </xf>
    <xf numFmtId="0" fontId="2" fillId="2" borderId="1" xfId="1" applyFont="1" applyFill="1" applyBorder="1" applyAlignment="1" applyProtection="1">
      <alignment horizontal="center" vertical="center"/>
      <protection locked="0"/>
    </xf>
    <xf numFmtId="0" fontId="11" fillId="0" borderId="0" xfId="3" applyFont="1">
      <alignment vertical="center"/>
    </xf>
    <xf numFmtId="0" fontId="11" fillId="0" borderId="39" xfId="3" applyFont="1" applyBorder="1">
      <alignment vertical="center"/>
    </xf>
    <xf numFmtId="178" fontId="11" fillId="4" borderId="44" xfId="3" applyNumberFormat="1" applyFont="1" applyFill="1" applyBorder="1" applyAlignment="1" applyProtection="1">
      <alignment horizontal="center" vertical="center"/>
      <protection locked="0"/>
    </xf>
    <xf numFmtId="178" fontId="11" fillId="4" borderId="46" xfId="3" applyNumberFormat="1" applyFont="1" applyFill="1" applyBorder="1" applyAlignment="1" applyProtection="1">
      <alignment horizontal="center" vertical="center"/>
      <protection locked="0"/>
    </xf>
    <xf numFmtId="0" fontId="17" fillId="0" borderId="0" xfId="5" applyFont="1" applyAlignment="1" applyProtection="1">
      <alignment horizontal="center" vertical="top"/>
      <protection locked="0"/>
    </xf>
    <xf numFmtId="0" fontId="17" fillId="0" borderId="0" xfId="5" applyFont="1" applyAlignment="1" applyProtection="1">
      <alignment horizontal="center" vertical="center"/>
      <protection locked="0"/>
    </xf>
    <xf numFmtId="49" fontId="0" fillId="0" borderId="0" xfId="5" applyNumberFormat="1" applyFont="1" applyAlignment="1">
      <alignment vertical="center"/>
    </xf>
    <xf numFmtId="0" fontId="0" fillId="0" borderId="0" xfId="5" applyFont="1" applyAlignment="1">
      <alignment vertical="top"/>
    </xf>
    <xf numFmtId="0" fontId="0" fillId="0" borderId="0" xfId="5" applyFont="1" applyAlignment="1">
      <alignment vertical="center"/>
    </xf>
    <xf numFmtId="0" fontId="11" fillId="0" borderId="0" xfId="3" applyFont="1" applyAlignment="1">
      <alignment horizontal="center" vertical="center"/>
    </xf>
    <xf numFmtId="0" fontId="11" fillId="0" borderId="0" xfId="3" applyFont="1" applyAlignment="1" applyProtection="1">
      <alignment horizontal="center" vertical="center"/>
      <protection locked="0"/>
    </xf>
    <xf numFmtId="0" fontId="19" fillId="0" borderId="0" xfId="3" applyFont="1" applyAlignment="1">
      <alignment horizontal="center" vertical="center"/>
    </xf>
    <xf numFmtId="0" fontId="17" fillId="0" borderId="0" xfId="6" applyFont="1" applyAlignment="1">
      <alignment vertical="center"/>
    </xf>
    <xf numFmtId="0" fontId="20" fillId="0" borderId="0" xfId="6" applyFont="1" applyAlignment="1">
      <alignment horizontal="center" vertical="center"/>
    </xf>
    <xf numFmtId="0" fontId="21" fillId="0" borderId="0" xfId="6" applyFont="1" applyAlignment="1">
      <alignment horizontal="center" vertical="center"/>
    </xf>
    <xf numFmtId="0" fontId="20" fillId="0" borderId="0" xfId="6" applyFont="1" applyAlignment="1">
      <alignment vertical="center"/>
    </xf>
    <xf numFmtId="38" fontId="24" fillId="0" borderId="0" xfId="7" applyFont="1" applyBorder="1" applyAlignment="1">
      <alignment horizontal="center"/>
    </xf>
    <xf numFmtId="0" fontId="24" fillId="0" borderId="0" xfId="6" applyFont="1"/>
    <xf numFmtId="0" fontId="26" fillId="0" borderId="1" xfId="6" applyFont="1" applyBorder="1" applyAlignment="1">
      <alignment horizontal="center" vertical="center"/>
    </xf>
    <xf numFmtId="0" fontId="27" fillId="0" borderId="0" xfId="6" applyFont="1" applyAlignment="1">
      <alignment horizontal="center" vertical="center"/>
    </xf>
    <xf numFmtId="0" fontId="21" fillId="0" borderId="50" xfId="6" applyFont="1" applyBorder="1" applyAlignment="1">
      <alignment horizontal="center" vertical="center"/>
    </xf>
    <xf numFmtId="0" fontId="17" fillId="0" borderId="50" xfId="6" applyFont="1" applyBorder="1" applyAlignment="1">
      <alignment vertical="center"/>
    </xf>
    <xf numFmtId="0" fontId="20" fillId="0" borderId="50" xfId="6" applyFont="1" applyBorder="1" applyAlignment="1">
      <alignment vertical="center"/>
    </xf>
    <xf numFmtId="0" fontId="20" fillId="0" borderId="0" xfId="6" applyFont="1" applyAlignment="1" applyProtection="1">
      <alignment horizontal="center" vertical="center"/>
      <protection locked="0"/>
    </xf>
    <xf numFmtId="0" fontId="29" fillId="0" borderId="0" xfId="6" applyFont="1" applyAlignment="1">
      <alignment vertical="center"/>
    </xf>
    <xf numFmtId="0" fontId="22" fillId="0" borderId="0" xfId="6" applyFont="1" applyAlignment="1">
      <alignment vertical="center"/>
    </xf>
    <xf numFmtId="0" fontId="30" fillId="0" borderId="0" xfId="6" applyFont="1" applyAlignment="1">
      <alignment vertical="center"/>
    </xf>
    <xf numFmtId="38" fontId="17" fillId="0" borderId="0" xfId="7" applyFont="1" applyFill="1" applyBorder="1" applyAlignment="1" applyProtection="1">
      <alignment vertical="center"/>
    </xf>
    <xf numFmtId="0" fontId="31" fillId="0" borderId="0" xfId="6" applyFont="1" applyAlignment="1">
      <alignment horizontal="center" vertical="center"/>
    </xf>
    <xf numFmtId="0" fontId="17" fillId="0" borderId="52" xfId="6" applyFont="1" applyBorder="1" applyAlignment="1">
      <alignment horizontal="center" vertical="center"/>
    </xf>
    <xf numFmtId="0" fontId="34" fillId="0" borderId="0" xfId="6" applyFont="1" applyAlignment="1">
      <alignment vertical="center" wrapText="1"/>
    </xf>
    <xf numFmtId="0" fontId="17" fillId="0" borderId="0" xfId="6" applyFont="1" applyAlignment="1">
      <alignment horizontal="center" vertical="center"/>
    </xf>
    <xf numFmtId="0" fontId="26" fillId="0" borderId="0" xfId="6" applyFont="1" applyAlignment="1">
      <alignment horizontal="center" vertical="center"/>
    </xf>
    <xf numFmtId="0" fontId="17" fillId="0" borderId="0" xfId="6" applyFont="1"/>
    <xf numFmtId="0" fontId="38" fillId="0" borderId="0" xfId="6" applyFont="1" applyAlignment="1">
      <alignment vertical="center"/>
    </xf>
    <xf numFmtId="0" fontId="3" fillId="0" borderId="0" xfId="1" applyFont="1" applyAlignment="1">
      <alignment horizontal="center" vertical="center"/>
    </xf>
    <xf numFmtId="0" fontId="2" fillId="0" borderId="0" xfId="1" applyFont="1" applyAlignment="1">
      <alignment horizontal="center" vertical="center"/>
    </xf>
    <xf numFmtId="0" fontId="2" fillId="0" borderId="1" xfId="1" applyFont="1" applyBorder="1" applyAlignment="1" applyProtection="1">
      <alignment horizontal="center" vertical="center"/>
      <protection locked="0"/>
    </xf>
    <xf numFmtId="0" fontId="2" fillId="0" borderId="2" xfId="1" applyFont="1" applyBorder="1" applyAlignment="1">
      <alignment horizontal="center" vertical="center" wrapText="1"/>
    </xf>
    <xf numFmtId="0" fontId="2" fillId="0" borderId="5" xfId="1" applyFont="1" applyBorder="1" applyAlignment="1">
      <alignment horizontal="center" vertical="center" wrapText="1"/>
    </xf>
    <xf numFmtId="0" fontId="2" fillId="0" borderId="22" xfId="1" applyFont="1" applyBorder="1" applyAlignment="1">
      <alignment horizontal="center" vertical="center" wrapText="1"/>
    </xf>
    <xf numFmtId="0" fontId="2" fillId="0" borderId="3" xfId="1" applyFont="1" applyBorder="1" applyAlignment="1">
      <alignment horizontal="center" vertical="center"/>
    </xf>
    <xf numFmtId="0" fontId="2" fillId="0" borderId="4" xfId="1" applyFont="1" applyBorder="1" applyAlignment="1">
      <alignment horizontal="center" vertical="center"/>
    </xf>
    <xf numFmtId="38" fontId="2" fillId="0" borderId="14" xfId="2" applyFont="1" applyBorder="1" applyAlignment="1" applyProtection="1">
      <alignment horizontal="right" vertical="center"/>
      <protection locked="0"/>
    </xf>
    <xf numFmtId="0" fontId="2" fillId="0" borderId="12" xfId="1" applyFont="1" applyBorder="1" applyAlignment="1">
      <alignment horizontal="center" vertical="center"/>
    </xf>
    <xf numFmtId="0" fontId="2" fillId="0" borderId="13" xfId="1" applyFont="1" applyBorder="1" applyAlignment="1">
      <alignment horizontal="center" vertical="center"/>
    </xf>
    <xf numFmtId="38" fontId="2" fillId="0" borderId="14" xfId="1" applyNumberFormat="1" applyFont="1" applyBorder="1" applyAlignment="1">
      <alignment horizontal="right" vertical="center"/>
    </xf>
    <xf numFmtId="0" fontId="2" fillId="0" borderId="14" xfId="1" applyFont="1" applyBorder="1" applyAlignment="1">
      <alignment horizontal="right" vertical="center"/>
    </xf>
    <xf numFmtId="0" fontId="2" fillId="0" borderId="15" xfId="1" applyFont="1" applyBorder="1" applyAlignment="1">
      <alignment horizontal="center" vertical="center"/>
    </xf>
    <xf numFmtId="0" fontId="2" fillId="0" borderId="12" xfId="1" applyFont="1" applyBorder="1" applyAlignment="1" applyProtection="1">
      <alignment horizontal="center" vertical="center"/>
      <protection locked="0"/>
    </xf>
    <xf numFmtId="0" fontId="2" fillId="0" borderId="13" xfId="1" applyFont="1" applyBorder="1" applyAlignment="1" applyProtection="1">
      <alignment horizontal="center" vertical="center"/>
      <protection locked="0"/>
    </xf>
    <xf numFmtId="0" fontId="2" fillId="0" borderId="16" xfId="1" applyFont="1" applyBorder="1" applyAlignment="1" applyProtection="1">
      <alignment horizontal="center" vertical="center"/>
      <protection locked="0"/>
    </xf>
    <xf numFmtId="0" fontId="2" fillId="0" borderId="17" xfId="1" applyFont="1" applyBorder="1" applyAlignment="1" applyProtection="1">
      <alignment horizontal="center" vertical="center"/>
      <protection locked="0"/>
    </xf>
    <xf numFmtId="38" fontId="2" fillId="0" borderId="18" xfId="2" applyFont="1" applyBorder="1" applyAlignment="1" applyProtection="1">
      <alignment horizontal="right" vertical="center"/>
      <protection locked="0"/>
    </xf>
    <xf numFmtId="38" fontId="2" fillId="0" borderId="19" xfId="2" applyFont="1" applyBorder="1" applyAlignment="1" applyProtection="1">
      <alignment horizontal="right" vertical="center"/>
      <protection locked="0"/>
    </xf>
    <xf numFmtId="38" fontId="2" fillId="0" borderId="20" xfId="2" applyFont="1" applyBorder="1" applyAlignment="1" applyProtection="1">
      <alignment horizontal="right" vertical="center"/>
      <protection locked="0"/>
    </xf>
    <xf numFmtId="0" fontId="2" fillId="0" borderId="33" xfId="1" applyFont="1" applyBorder="1" applyAlignment="1" applyProtection="1">
      <alignment horizontal="center" vertical="center"/>
      <protection locked="0"/>
    </xf>
    <xf numFmtId="0" fontId="2" fillId="0" borderId="29" xfId="1" applyFont="1" applyBorder="1" applyAlignment="1">
      <alignment horizontal="center" vertical="center" wrapText="1"/>
    </xf>
    <xf numFmtId="0" fontId="2" fillId="0" borderId="35" xfId="1" applyFont="1" applyBorder="1" applyAlignment="1">
      <alignment horizontal="center" vertical="center" wrapText="1"/>
    </xf>
    <xf numFmtId="38" fontId="2" fillId="0" borderId="9" xfId="2" applyFont="1" applyBorder="1">
      <alignment vertical="center"/>
    </xf>
    <xf numFmtId="38" fontId="2" fillId="0" borderId="1" xfId="2" applyFont="1" applyBorder="1">
      <alignment vertical="center"/>
    </xf>
    <xf numFmtId="38" fontId="2" fillId="0" borderId="10" xfId="2" applyFont="1" applyBorder="1">
      <alignment vertical="center"/>
    </xf>
    <xf numFmtId="0" fontId="2" fillId="0" borderId="23" xfId="1" applyFont="1" applyBorder="1" applyAlignment="1">
      <alignment horizontal="center" vertical="center"/>
    </xf>
    <xf numFmtId="0" fontId="2" fillId="0" borderId="24" xfId="1" applyFont="1" applyBorder="1" applyAlignment="1">
      <alignment horizontal="center" vertical="center"/>
    </xf>
    <xf numFmtId="0" fontId="2" fillId="0" borderId="6" xfId="1" applyFont="1" applyBorder="1" applyAlignment="1">
      <alignment horizontal="center" vertical="center"/>
    </xf>
    <xf numFmtId="0" fontId="2" fillId="0" borderId="7" xfId="1" applyFont="1" applyBorder="1" applyAlignment="1">
      <alignment horizontal="center" vertical="center"/>
    </xf>
    <xf numFmtId="38" fontId="2" fillId="0" borderId="9" xfId="2" applyFont="1" applyBorder="1" applyAlignment="1">
      <alignment horizontal="right" vertical="center"/>
    </xf>
    <xf numFmtId="38" fontId="2" fillId="0" borderId="1" xfId="2" applyFont="1" applyBorder="1" applyAlignment="1">
      <alignment horizontal="right" vertical="center"/>
    </xf>
    <xf numFmtId="38" fontId="2" fillId="0" borderId="10" xfId="2" applyFont="1" applyBorder="1" applyAlignment="1">
      <alignment horizontal="right" vertical="center"/>
    </xf>
    <xf numFmtId="38" fontId="8" fillId="0" borderId="25" xfId="2" applyFont="1" applyBorder="1" applyAlignment="1">
      <alignment horizontal="right" vertical="center"/>
    </xf>
    <xf numFmtId="38" fontId="8" fillId="0" borderId="26" xfId="2" applyFont="1" applyBorder="1" applyAlignment="1">
      <alignment horizontal="right" vertical="center"/>
    </xf>
    <xf numFmtId="38" fontId="8" fillId="0" borderId="27" xfId="2" applyFont="1" applyBorder="1" applyAlignment="1">
      <alignment horizontal="right" vertical="center"/>
    </xf>
    <xf numFmtId="176" fontId="2" fillId="0" borderId="31" xfId="1" applyNumberFormat="1" applyFont="1" applyBorder="1" applyProtection="1">
      <alignment vertical="center"/>
      <protection locked="0"/>
    </xf>
    <xf numFmtId="176" fontId="2" fillId="0" borderId="12" xfId="1" applyNumberFormat="1" applyFont="1" applyBorder="1" applyProtection="1">
      <alignment vertical="center"/>
      <protection locked="0"/>
    </xf>
    <xf numFmtId="176" fontId="2" fillId="0" borderId="13" xfId="1" applyNumberFormat="1" applyFont="1" applyBorder="1" applyProtection="1">
      <alignment vertical="center"/>
      <protection locked="0"/>
    </xf>
    <xf numFmtId="0" fontId="2" fillId="0" borderId="37" xfId="1" applyFont="1" applyBorder="1" applyAlignment="1">
      <alignment horizontal="center" vertical="center"/>
    </xf>
    <xf numFmtId="38" fontId="8" fillId="0" borderId="37" xfId="2" applyFont="1" applyBorder="1">
      <alignment vertical="center"/>
    </xf>
    <xf numFmtId="38" fontId="8" fillId="0" borderId="3" xfId="2" applyFont="1" applyBorder="1">
      <alignment vertical="center"/>
    </xf>
    <xf numFmtId="38" fontId="8" fillId="0" borderId="4" xfId="2" applyFont="1" applyBorder="1">
      <alignment vertical="center"/>
    </xf>
    <xf numFmtId="38" fontId="8" fillId="0" borderId="36" xfId="2" applyFont="1" applyBorder="1">
      <alignment vertical="center"/>
    </xf>
    <xf numFmtId="38" fontId="8" fillId="0" borderId="0" xfId="2" applyFont="1" applyBorder="1">
      <alignment vertical="center"/>
    </xf>
    <xf numFmtId="176" fontId="2" fillId="0" borderId="34" xfId="1" applyNumberFormat="1" applyFont="1" applyBorder="1" applyProtection="1">
      <alignment vertical="center"/>
      <protection locked="0"/>
    </xf>
    <xf numFmtId="176" fontId="2" fillId="0" borderId="16" xfId="1" applyNumberFormat="1" applyFont="1" applyBorder="1" applyProtection="1">
      <alignment vertical="center"/>
      <protection locked="0"/>
    </xf>
    <xf numFmtId="176" fontId="2" fillId="0" borderId="33" xfId="1" applyNumberFormat="1" applyFont="1" applyBorder="1" applyProtection="1">
      <alignment vertical="center"/>
      <protection locked="0"/>
    </xf>
    <xf numFmtId="0" fontId="11" fillId="4" borderId="46" xfId="3" applyFont="1" applyFill="1" applyBorder="1" applyAlignment="1">
      <alignment horizontal="center" vertical="center"/>
    </xf>
    <xf numFmtId="0" fontId="11" fillId="4" borderId="45" xfId="3" applyFont="1" applyFill="1" applyBorder="1" applyAlignment="1">
      <alignment horizontal="center" vertical="center"/>
    </xf>
    <xf numFmtId="0" fontId="11" fillId="4" borderId="44" xfId="3" applyFont="1" applyFill="1" applyBorder="1" applyAlignment="1">
      <alignment horizontal="center" vertical="center"/>
    </xf>
    <xf numFmtId="0" fontId="11" fillId="0" borderId="46" xfId="3" applyFont="1" applyBorder="1" applyAlignment="1">
      <alignment horizontal="center" vertical="center"/>
    </xf>
    <xf numFmtId="0" fontId="11" fillId="0" borderId="45" xfId="3" applyFont="1" applyBorder="1" applyAlignment="1">
      <alignment horizontal="center" vertical="center"/>
    </xf>
    <xf numFmtId="0" fontId="11" fillId="0" borderId="44" xfId="3" applyFont="1" applyBorder="1" applyAlignment="1">
      <alignment horizontal="center" vertical="center"/>
    </xf>
    <xf numFmtId="0" fontId="11" fillId="0" borderId="46" xfId="3" applyFont="1" applyBorder="1" applyAlignment="1" applyProtection="1">
      <alignment horizontal="center" vertical="center"/>
      <protection locked="0"/>
    </xf>
    <xf numFmtId="0" fontId="11" fillId="0" borderId="45" xfId="3" applyFont="1" applyBorder="1" applyAlignment="1" applyProtection="1">
      <alignment horizontal="center" vertical="center"/>
      <protection locked="0"/>
    </xf>
    <xf numFmtId="0" fontId="11" fillId="0" borderId="44" xfId="3" applyFont="1" applyBorder="1" applyAlignment="1" applyProtection="1">
      <alignment horizontal="center" vertical="center"/>
      <protection locked="0"/>
    </xf>
    <xf numFmtId="0" fontId="11" fillId="4" borderId="46" xfId="3" applyFont="1" applyFill="1" applyBorder="1" applyAlignment="1" applyProtection="1">
      <alignment horizontal="center" vertical="center"/>
      <protection locked="0"/>
    </xf>
    <xf numFmtId="0" fontId="11" fillId="4" borderId="45" xfId="3" applyFont="1" applyFill="1" applyBorder="1" applyAlignment="1" applyProtection="1">
      <alignment horizontal="center" vertical="center"/>
      <protection locked="0"/>
    </xf>
    <xf numFmtId="0" fontId="11" fillId="4" borderId="44" xfId="3" applyFont="1" applyFill="1" applyBorder="1" applyAlignment="1" applyProtection="1">
      <alignment horizontal="center" vertical="center"/>
      <protection locked="0"/>
    </xf>
    <xf numFmtId="178" fontId="11" fillId="4" borderId="46" xfId="3" applyNumberFormat="1" applyFont="1" applyFill="1" applyBorder="1" applyAlignment="1" applyProtection="1">
      <alignment horizontal="center" vertical="center"/>
      <protection locked="0"/>
    </xf>
    <xf numFmtId="178" fontId="11" fillId="4" borderId="45" xfId="3" applyNumberFormat="1" applyFont="1" applyFill="1" applyBorder="1" applyAlignment="1" applyProtection="1">
      <alignment horizontal="center" vertical="center"/>
      <protection locked="0"/>
    </xf>
    <xf numFmtId="178" fontId="11" fillId="4" borderId="44" xfId="3" applyNumberFormat="1" applyFont="1" applyFill="1" applyBorder="1" applyAlignment="1" applyProtection="1">
      <alignment horizontal="center" vertical="center"/>
      <protection locked="0"/>
    </xf>
    <xf numFmtId="178" fontId="11" fillId="0" borderId="46" xfId="3" applyNumberFormat="1" applyFont="1" applyBorder="1" applyAlignment="1" applyProtection="1">
      <alignment horizontal="center" vertical="center"/>
      <protection locked="0"/>
    </xf>
    <xf numFmtId="178" fontId="11" fillId="0" borderId="45" xfId="3" applyNumberFormat="1" applyFont="1" applyBorder="1" applyAlignment="1" applyProtection="1">
      <alignment horizontal="center" vertical="center"/>
      <protection locked="0"/>
    </xf>
    <xf numFmtId="178" fontId="11" fillId="0" borderId="44" xfId="3" applyNumberFormat="1" applyFont="1" applyBorder="1" applyAlignment="1" applyProtection="1">
      <alignment horizontal="center" vertical="center"/>
      <protection locked="0"/>
    </xf>
    <xf numFmtId="0" fontId="13" fillId="3" borderId="43" xfId="3" applyFont="1" applyFill="1" applyBorder="1" applyAlignment="1">
      <alignment horizontal="center" vertical="center"/>
    </xf>
    <xf numFmtId="177" fontId="12" fillId="0" borderId="42" xfId="3" applyNumberFormat="1" applyFont="1" applyBorder="1" applyAlignment="1">
      <alignment horizontal="right" vertical="center"/>
    </xf>
    <xf numFmtId="0" fontId="11" fillId="0" borderId="41" xfId="3" applyFont="1" applyBorder="1" applyAlignment="1" applyProtection="1">
      <alignment horizontal="center" vertical="center"/>
      <protection locked="0"/>
    </xf>
    <xf numFmtId="0" fontId="11" fillId="0" borderId="40" xfId="3" applyFont="1" applyBorder="1" applyAlignment="1" applyProtection="1">
      <alignment horizontal="center" vertical="center"/>
      <protection locked="0"/>
    </xf>
    <xf numFmtId="180" fontId="11" fillId="4" borderId="42" xfId="3" applyNumberFormat="1" applyFont="1" applyFill="1" applyBorder="1" applyAlignment="1" applyProtection="1">
      <alignment horizontal="right" vertical="center"/>
      <protection locked="0"/>
    </xf>
    <xf numFmtId="179" fontId="11" fillId="4" borderId="42" xfId="3" applyNumberFormat="1" applyFont="1" applyFill="1" applyBorder="1" applyAlignment="1" applyProtection="1">
      <alignment horizontal="right" vertical="center"/>
      <protection locked="0"/>
    </xf>
    <xf numFmtId="179" fontId="11" fillId="0" borderId="42" xfId="3" applyNumberFormat="1" applyFont="1" applyBorder="1" applyAlignment="1" applyProtection="1">
      <alignment horizontal="right" vertical="center"/>
      <protection locked="0"/>
    </xf>
    <xf numFmtId="180" fontId="11" fillId="0" borderId="42" xfId="3" applyNumberFormat="1" applyFont="1" applyBorder="1" applyAlignment="1" applyProtection="1">
      <alignment horizontal="right" vertical="center"/>
      <protection locked="0"/>
    </xf>
    <xf numFmtId="0" fontId="11" fillId="0" borderId="0" xfId="3" applyFont="1" applyAlignment="1">
      <alignment horizontal="center" vertical="center"/>
    </xf>
    <xf numFmtId="179" fontId="11" fillId="2" borderId="42" xfId="3" applyNumberFormat="1" applyFont="1" applyFill="1" applyBorder="1" applyAlignment="1" applyProtection="1">
      <alignment horizontal="right" vertical="center"/>
      <protection locked="0"/>
    </xf>
    <xf numFmtId="179" fontId="11" fillId="0" borderId="46" xfId="3" applyNumberFormat="1" applyFont="1" applyBorder="1" applyAlignment="1" applyProtection="1">
      <alignment horizontal="right" vertical="center"/>
      <protection locked="0"/>
    </xf>
    <xf numFmtId="179" fontId="11" fillId="0" borderId="45" xfId="3" applyNumberFormat="1" applyFont="1" applyBorder="1" applyAlignment="1" applyProtection="1">
      <alignment horizontal="right" vertical="center"/>
      <protection locked="0"/>
    </xf>
    <xf numFmtId="179" fontId="11" fillId="0" borderId="44" xfId="3" applyNumberFormat="1" applyFont="1" applyBorder="1" applyAlignment="1" applyProtection="1">
      <alignment horizontal="right" vertical="center"/>
      <protection locked="0"/>
    </xf>
    <xf numFmtId="0" fontId="17" fillId="0" borderId="42" xfId="5" applyFont="1" applyBorder="1" applyAlignment="1" applyProtection="1">
      <alignment horizontal="center" vertical="center"/>
      <protection locked="0"/>
    </xf>
    <xf numFmtId="0" fontId="11" fillId="0" borderId="42" xfId="3" applyFont="1" applyBorder="1" applyAlignment="1">
      <alignment horizontal="center" vertical="center"/>
    </xf>
    <xf numFmtId="0" fontId="13" fillId="3" borderId="47" xfId="3" applyFont="1" applyFill="1" applyBorder="1" applyAlignment="1">
      <alignment horizontal="center" vertical="center"/>
    </xf>
    <xf numFmtId="179" fontId="11" fillId="2" borderId="42" xfId="4" applyNumberFormat="1" applyFont="1" applyFill="1" applyBorder="1" applyAlignment="1" applyProtection="1">
      <alignment horizontal="right" vertical="center"/>
      <protection locked="0"/>
    </xf>
    <xf numFmtId="180" fontId="11" fillId="0" borderId="42" xfId="3" applyNumberFormat="1" applyFont="1" applyBorder="1" applyAlignment="1">
      <alignment horizontal="right" vertical="center"/>
    </xf>
    <xf numFmtId="179" fontId="11" fillId="0" borderId="42" xfId="3" applyNumberFormat="1" applyFont="1" applyBorder="1" applyAlignment="1">
      <alignment horizontal="right" vertical="center"/>
    </xf>
    <xf numFmtId="179" fontId="15" fillId="6" borderId="42" xfId="4" applyNumberFormat="1" applyFont="1" applyFill="1" applyBorder="1" applyAlignment="1" applyProtection="1">
      <alignment horizontal="right" vertical="center"/>
      <protection locked="0"/>
    </xf>
    <xf numFmtId="179" fontId="11" fillId="4" borderId="42" xfId="3" applyNumberFormat="1" applyFont="1" applyFill="1" applyBorder="1" applyAlignment="1">
      <alignment horizontal="right" vertical="center"/>
    </xf>
    <xf numFmtId="0" fontId="19" fillId="0" borderId="0" xfId="3" applyFont="1" applyAlignment="1">
      <alignment horizontal="center" vertical="center"/>
    </xf>
    <xf numFmtId="49" fontId="0" fillId="0" borderId="48" xfId="5" applyNumberFormat="1" applyFont="1" applyBorder="1" applyAlignment="1">
      <alignment horizontal="center" vertical="center"/>
    </xf>
    <xf numFmtId="0" fontId="11" fillId="0" borderId="48" xfId="3" applyFont="1" applyBorder="1" applyAlignment="1">
      <alignment horizontal="center" vertical="center"/>
    </xf>
    <xf numFmtId="0" fontId="18" fillId="0" borderId="0" xfId="5" applyFont="1" applyAlignment="1" applyProtection="1">
      <alignment horizontal="center" vertical="center"/>
      <protection locked="0"/>
    </xf>
    <xf numFmtId="182" fontId="17" fillId="0" borderId="0" xfId="6" applyNumberFormat="1" applyFont="1" applyAlignment="1">
      <alignment horizontal="center" vertical="center"/>
    </xf>
    <xf numFmtId="0" fontId="17" fillId="0" borderId="0" xfId="6" applyFont="1" applyAlignment="1">
      <alignment horizontal="center" vertical="center"/>
    </xf>
    <xf numFmtId="0" fontId="20" fillId="0" borderId="0" xfId="6" applyFont="1" applyAlignment="1">
      <alignment horizontal="center" vertical="center"/>
    </xf>
    <xf numFmtId="0" fontId="22" fillId="0" borderId="0" xfId="6" applyFont="1" applyAlignment="1">
      <alignment horizontal="center" vertical="center"/>
    </xf>
    <xf numFmtId="0" fontId="33" fillId="0" borderId="45" xfId="6" applyFont="1" applyBorder="1" applyAlignment="1" applyProtection="1">
      <alignment horizontal="center" vertical="center"/>
      <protection locked="0"/>
    </xf>
    <xf numFmtId="0" fontId="33" fillId="0" borderId="44" xfId="6" applyFont="1" applyBorder="1" applyAlignment="1" applyProtection="1">
      <alignment horizontal="center" vertical="center"/>
      <protection locked="0"/>
    </xf>
    <xf numFmtId="0" fontId="37" fillId="0" borderId="0" xfId="6" applyFont="1" applyAlignment="1">
      <alignment horizontal="center" vertical="center"/>
    </xf>
    <xf numFmtId="0" fontId="37" fillId="0" borderId="50" xfId="6" applyFont="1" applyBorder="1" applyAlignment="1">
      <alignment horizontal="center" vertical="center"/>
    </xf>
    <xf numFmtId="181" fontId="35" fillId="0" borderId="0" xfId="6" applyNumberFormat="1" applyFont="1" applyAlignment="1">
      <alignment horizontal="center" vertical="center"/>
    </xf>
    <xf numFmtId="181" fontId="35" fillId="0" borderId="53" xfId="6" applyNumberFormat="1" applyFont="1" applyBorder="1" applyAlignment="1">
      <alignment horizontal="center" vertical="center"/>
    </xf>
    <xf numFmtId="38" fontId="17" fillId="0" borderId="42" xfId="7" applyFont="1" applyFill="1" applyBorder="1" applyAlignment="1" applyProtection="1">
      <alignment horizontal="right" vertical="center"/>
    </xf>
    <xf numFmtId="182" fontId="17" fillId="0" borderId="0" xfId="6" applyNumberFormat="1" applyFont="1" applyAlignment="1">
      <alignment horizontal="right" vertical="center"/>
    </xf>
    <xf numFmtId="0" fontId="27" fillId="0" borderId="48" xfId="6" applyFont="1" applyBorder="1" applyAlignment="1">
      <alignment horizontal="center" vertical="center"/>
    </xf>
    <xf numFmtId="0" fontId="17" fillId="5" borderId="42" xfId="6" applyFont="1" applyFill="1" applyBorder="1" applyAlignment="1">
      <alignment horizontal="center" vertical="center"/>
    </xf>
    <xf numFmtId="38" fontId="32" fillId="0" borderId="42" xfId="7" applyFont="1" applyFill="1" applyBorder="1" applyAlignment="1" applyProtection="1">
      <alignment horizontal="right" vertical="center"/>
    </xf>
    <xf numFmtId="38" fontId="17" fillId="2" borderId="42" xfId="7" applyFont="1" applyFill="1" applyBorder="1" applyAlignment="1" applyProtection="1">
      <alignment horizontal="right" vertical="center"/>
      <protection locked="0"/>
    </xf>
    <xf numFmtId="0" fontId="17" fillId="0" borderId="0" xfId="6" applyFont="1" applyAlignment="1" applyProtection="1">
      <alignment horizontal="right" vertical="center"/>
      <protection locked="0"/>
    </xf>
    <xf numFmtId="38" fontId="17" fillId="0" borderId="42" xfId="7" applyFont="1" applyFill="1" applyBorder="1" applyAlignment="1" applyProtection="1">
      <alignment horizontal="right" vertical="center"/>
      <protection locked="0"/>
    </xf>
    <xf numFmtId="0" fontId="23" fillId="0" borderId="0" xfId="6" applyFont="1" applyAlignment="1" applyProtection="1">
      <alignment horizontal="right" vertical="center"/>
      <protection locked="0"/>
    </xf>
    <xf numFmtId="0" fontId="26" fillId="0" borderId="48" xfId="6" applyFont="1" applyBorder="1" applyAlignment="1">
      <alignment horizontal="center" vertical="center"/>
    </xf>
    <xf numFmtId="0" fontId="36" fillId="0" borderId="53" xfId="6" applyFont="1" applyBorder="1" applyAlignment="1">
      <alignment horizontal="center" vertical="center"/>
    </xf>
    <xf numFmtId="0" fontId="17" fillId="0" borderId="45" xfId="6" applyFont="1" applyBorder="1" applyAlignment="1" applyProtection="1">
      <alignment horizontal="center" vertical="center"/>
      <protection locked="0"/>
    </xf>
    <xf numFmtId="0" fontId="17" fillId="0" borderId="44" xfId="6" applyFont="1" applyBorder="1" applyAlignment="1" applyProtection="1">
      <alignment horizontal="center" vertical="center"/>
      <protection locked="0"/>
    </xf>
    <xf numFmtId="0" fontId="27" fillId="0" borderId="1" xfId="6" applyFont="1" applyBorder="1" applyAlignment="1">
      <alignment horizontal="center" vertical="center"/>
    </xf>
    <xf numFmtId="38" fontId="24" fillId="0" borderId="0" xfId="7" applyFont="1" applyBorder="1" applyAlignment="1">
      <alignment horizontal="center" vertical="center"/>
    </xf>
    <xf numFmtId="38" fontId="24" fillId="0" borderId="49" xfId="7" applyFont="1" applyBorder="1" applyAlignment="1">
      <alignment horizontal="center" vertical="center"/>
    </xf>
    <xf numFmtId="0" fontId="22" fillId="0" borderId="0" xfId="6" applyFont="1" applyAlignment="1">
      <alignment vertical="center"/>
    </xf>
    <xf numFmtId="0" fontId="25" fillId="0" borderId="0" xfId="6" applyFont="1" applyAlignment="1">
      <alignment horizontal="center" vertical="center"/>
    </xf>
    <xf numFmtId="0" fontId="25" fillId="0" borderId="49" xfId="6" applyFont="1" applyBorder="1" applyAlignment="1">
      <alignment horizontal="center" vertical="center"/>
    </xf>
    <xf numFmtId="0" fontId="17" fillId="5" borderId="45" xfId="6" applyFont="1" applyFill="1" applyBorder="1" applyAlignment="1">
      <alignment horizontal="center" vertical="center"/>
    </xf>
    <xf numFmtId="0" fontId="17" fillId="5" borderId="44" xfId="6" applyFont="1" applyFill="1" applyBorder="1" applyAlignment="1">
      <alignment horizontal="center" vertical="center"/>
    </xf>
    <xf numFmtId="0" fontId="17" fillId="0" borderId="45" xfId="6" applyFont="1" applyBorder="1" applyAlignment="1">
      <alignment horizontal="center" vertical="center"/>
    </xf>
    <xf numFmtId="0" fontId="17" fillId="0" borderId="51" xfId="6" applyFont="1" applyBorder="1" applyAlignment="1">
      <alignment horizontal="center" vertical="center"/>
    </xf>
    <xf numFmtId="0" fontId="28" fillId="0" borderId="0" xfId="6" applyFont="1" applyAlignment="1">
      <alignment horizontal="center" vertical="center"/>
    </xf>
    <xf numFmtId="0" fontId="17" fillId="5" borderId="46" xfId="6" applyFont="1" applyFill="1" applyBorder="1" applyAlignment="1">
      <alignment horizontal="center" vertical="center"/>
    </xf>
    <xf numFmtId="14" fontId="0" fillId="2" borderId="0" xfId="0" applyNumberFormat="1" applyFill="1"/>
    <xf numFmtId="0" fontId="0" fillId="0" borderId="0" xfId="0" applyAlignment="1">
      <alignment horizontal="right"/>
    </xf>
    <xf numFmtId="0" fontId="0" fillId="0" borderId="0" xfId="0" applyAlignment="1">
      <alignment horizontal="center"/>
    </xf>
    <xf numFmtId="0" fontId="0" fillId="0" borderId="0" xfId="0" applyAlignment="1">
      <alignment horizontal="center" shrinkToFit="1"/>
    </xf>
    <xf numFmtId="186" fontId="0" fillId="0" borderId="0" xfId="0" applyNumberFormat="1" applyAlignment="1">
      <alignment horizontal="center"/>
    </xf>
    <xf numFmtId="0" fontId="0" fillId="0" borderId="0" xfId="0" applyAlignment="1">
      <alignment horizontal="left"/>
    </xf>
  </cellXfs>
  <cellStyles count="8">
    <cellStyle name="桁区切り 2" xfId="2" xr:uid="{2C93A6E9-9D0B-4587-9F56-0FE5C922AAA4}"/>
    <cellStyle name="桁区切り 3" xfId="4" xr:uid="{DADFB72E-5ACD-44B0-B67B-55CB5D64D8E6}"/>
    <cellStyle name="桁区切り 4" xfId="7" xr:uid="{8465BC99-8F06-488E-A816-1BD05A4BE6E1}"/>
    <cellStyle name="標準" xfId="0" builtinId="0"/>
    <cellStyle name="標準 2" xfId="1" xr:uid="{360640A4-C160-4E81-9438-2591C011ED21}"/>
    <cellStyle name="標準 3" xfId="3" xr:uid="{78C85223-AC56-4EFA-855A-5B43BBD14149}"/>
    <cellStyle name="標準 4" xfId="6" xr:uid="{0BF631E3-31D8-4073-8E07-2D085FE2773C}"/>
    <cellStyle name="標準_Sheet1" xfId="5" xr:uid="{7211B238-8CB3-48D4-BF7E-ABF36864D6B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200025</xdr:colOff>
      <xdr:row>25</xdr:row>
      <xdr:rowOff>104775</xdr:rowOff>
    </xdr:from>
    <xdr:to>
      <xdr:col>19</xdr:col>
      <xdr:colOff>91350</xdr:colOff>
      <xdr:row>28</xdr:row>
      <xdr:rowOff>129375</xdr:rowOff>
    </xdr:to>
    <xdr:sp macro="" textlink="">
      <xdr:nvSpPr>
        <xdr:cNvPr id="2" name="円/楕円 4">
          <a:extLst>
            <a:ext uri="{FF2B5EF4-FFF2-40B4-BE49-F238E27FC236}">
              <a16:creationId xmlns:a16="http://schemas.microsoft.com/office/drawing/2014/main" id="{9A654809-C2C7-40E2-9677-945A5D5E63E9}"/>
            </a:ext>
          </a:extLst>
        </xdr:cNvPr>
        <xdr:cNvSpPr/>
      </xdr:nvSpPr>
      <xdr:spPr>
        <a:xfrm>
          <a:off x="3400425" y="4400550"/>
          <a:ext cx="491400" cy="538950"/>
        </a:xfrm>
        <a:prstGeom prst="ellipse">
          <a:avLst/>
        </a:prstGeom>
        <a:noFill/>
        <a:ln w="6350">
          <a:solidFill>
            <a:schemeClr val="tx1"/>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8"/>
  <sheetViews>
    <sheetView tabSelected="1" workbookViewId="0">
      <selection activeCell="A5" sqref="A5"/>
    </sheetView>
  </sheetViews>
  <sheetFormatPr defaultRowHeight="18.75"/>
  <cols>
    <col min="1" max="1" width="17.25" bestFit="1" customWidth="1"/>
    <col min="2" max="2" width="10.25" bestFit="1" customWidth="1"/>
    <col min="11" max="11" width="11.625" customWidth="1"/>
  </cols>
  <sheetData>
    <row r="1" spans="1:11">
      <c r="A1" s="185" t="s">
        <v>96</v>
      </c>
      <c r="B1" s="184">
        <v>44313</v>
      </c>
      <c r="D1" s="189" t="str">
        <f>"令和" &amp; YEAR(B1)-2018 &amp; "年" &amp; MONTH(B1) &amp; "月" &amp; DAY(B1) &amp; "日"</f>
        <v>令和3年4月27日</v>
      </c>
      <c r="E1" s="186"/>
      <c r="F1" s="186"/>
      <c r="G1" s="186"/>
      <c r="H1" s="186"/>
      <c r="I1" s="188"/>
      <c r="J1" s="186"/>
    </row>
    <row r="2" spans="1:11">
      <c r="A2" s="185" t="str">
        <f>MONTH(B1) - 1 &amp; "月分工賃"</f>
        <v>3月分工賃</v>
      </c>
    </row>
    <row r="3" spans="1:11">
      <c r="A3" s="185"/>
    </row>
    <row r="4" spans="1:11">
      <c r="A4" s="187" t="s">
        <v>97</v>
      </c>
      <c r="B4" s="187" t="s">
        <v>35</v>
      </c>
      <c r="C4" s="187" t="s">
        <v>61</v>
      </c>
      <c r="D4" s="187" t="s">
        <v>98</v>
      </c>
      <c r="E4" s="187" t="s">
        <v>99</v>
      </c>
      <c r="F4" s="187" t="s">
        <v>103</v>
      </c>
      <c r="G4" s="187" t="s">
        <v>100</v>
      </c>
      <c r="H4" s="187" t="s">
        <v>101</v>
      </c>
      <c r="I4" s="187" t="s">
        <v>104</v>
      </c>
      <c r="J4" s="187" t="s">
        <v>102</v>
      </c>
      <c r="K4" s="187" t="s">
        <v>105</v>
      </c>
    </row>
    <row r="5" spans="1:11">
      <c r="A5" t="s">
        <v>106</v>
      </c>
      <c r="B5">
        <v>18</v>
      </c>
      <c r="C5">
        <v>800</v>
      </c>
      <c r="D5">
        <v>4000</v>
      </c>
      <c r="E5">
        <v>18400</v>
      </c>
      <c r="G5">
        <v>18400</v>
      </c>
      <c r="H5">
        <v>0</v>
      </c>
      <c r="I5">
        <v>0</v>
      </c>
      <c r="K5">
        <v>18400</v>
      </c>
    </row>
    <row r="6" spans="1:11">
      <c r="A6" t="s">
        <v>86</v>
      </c>
      <c r="B6">
        <v>22</v>
      </c>
      <c r="C6">
        <v>800</v>
      </c>
      <c r="D6">
        <v>4000</v>
      </c>
      <c r="E6">
        <v>21600</v>
      </c>
      <c r="G6">
        <v>21600</v>
      </c>
      <c r="H6">
        <v>22</v>
      </c>
      <c r="I6">
        <v>2200</v>
      </c>
      <c r="K6">
        <v>19400</v>
      </c>
    </row>
    <row r="7" spans="1:11">
      <c r="A7" t="s">
        <v>87</v>
      </c>
      <c r="B7">
        <v>13</v>
      </c>
      <c r="C7">
        <v>800</v>
      </c>
      <c r="D7">
        <v>2500</v>
      </c>
      <c r="E7">
        <v>12900</v>
      </c>
      <c r="G7">
        <v>12900</v>
      </c>
      <c r="H7">
        <v>5</v>
      </c>
      <c r="I7">
        <v>500</v>
      </c>
      <c r="K7">
        <v>12400</v>
      </c>
    </row>
    <row r="8" spans="1:11">
      <c r="A8" t="s">
        <v>88</v>
      </c>
      <c r="B8">
        <v>22</v>
      </c>
      <c r="C8">
        <v>800</v>
      </c>
      <c r="D8">
        <v>4000</v>
      </c>
      <c r="E8">
        <v>21600</v>
      </c>
      <c r="G8">
        <v>21600</v>
      </c>
      <c r="H8">
        <v>4</v>
      </c>
      <c r="I8">
        <v>400</v>
      </c>
      <c r="K8">
        <v>21200</v>
      </c>
    </row>
    <row r="9" spans="1:11">
      <c r="A9" t="s">
        <v>89</v>
      </c>
      <c r="B9">
        <v>23</v>
      </c>
      <c r="C9">
        <v>800</v>
      </c>
      <c r="D9">
        <v>4000</v>
      </c>
      <c r="E9">
        <v>22400</v>
      </c>
      <c r="G9">
        <v>22400</v>
      </c>
      <c r="H9">
        <v>23</v>
      </c>
      <c r="I9">
        <v>2300</v>
      </c>
      <c r="K9">
        <v>20100</v>
      </c>
    </row>
    <row r="10" spans="1:11">
      <c r="A10" t="s">
        <v>90</v>
      </c>
      <c r="B10">
        <v>19</v>
      </c>
      <c r="C10">
        <v>800</v>
      </c>
      <c r="D10">
        <v>4000</v>
      </c>
      <c r="E10">
        <v>19200</v>
      </c>
      <c r="G10">
        <v>19200</v>
      </c>
      <c r="H10">
        <v>7</v>
      </c>
      <c r="I10">
        <v>700</v>
      </c>
      <c r="K10">
        <v>18500</v>
      </c>
    </row>
    <row r="11" spans="1:11">
      <c r="A11" t="s">
        <v>91</v>
      </c>
      <c r="B11">
        <v>20</v>
      </c>
      <c r="C11">
        <v>800</v>
      </c>
      <c r="D11">
        <v>4000</v>
      </c>
      <c r="E11">
        <v>20000</v>
      </c>
      <c r="G11">
        <v>20000</v>
      </c>
      <c r="H11">
        <v>19</v>
      </c>
      <c r="I11">
        <v>1900</v>
      </c>
      <c r="K11">
        <v>18100</v>
      </c>
    </row>
    <row r="12" spans="1:11">
      <c r="A12" t="s">
        <v>92</v>
      </c>
      <c r="B12">
        <v>22</v>
      </c>
      <c r="C12">
        <v>800</v>
      </c>
      <c r="D12">
        <v>4000</v>
      </c>
      <c r="E12">
        <v>21600</v>
      </c>
      <c r="G12">
        <v>21600</v>
      </c>
      <c r="H12">
        <v>0</v>
      </c>
      <c r="I12">
        <v>0</v>
      </c>
      <c r="K12">
        <v>21600</v>
      </c>
    </row>
    <row r="13" spans="1:11">
      <c r="A13" t="s">
        <v>93</v>
      </c>
      <c r="B13">
        <v>23</v>
      </c>
      <c r="C13">
        <v>800</v>
      </c>
      <c r="D13">
        <v>4000</v>
      </c>
      <c r="E13">
        <v>22400</v>
      </c>
      <c r="G13">
        <v>22400</v>
      </c>
      <c r="H13">
        <v>1</v>
      </c>
      <c r="I13">
        <v>100</v>
      </c>
      <c r="K13">
        <v>22300</v>
      </c>
    </row>
    <row r="14" spans="1:11">
      <c r="A14" t="s">
        <v>72</v>
      </c>
      <c r="B14">
        <v>14</v>
      </c>
      <c r="C14">
        <v>800</v>
      </c>
      <c r="D14">
        <v>2500</v>
      </c>
      <c r="E14">
        <v>13700</v>
      </c>
      <c r="G14">
        <v>13700</v>
      </c>
      <c r="H14">
        <v>0</v>
      </c>
      <c r="I14">
        <v>0</v>
      </c>
      <c r="K14">
        <v>13700</v>
      </c>
    </row>
    <row r="15" spans="1:11">
      <c r="A15" t="s">
        <v>73</v>
      </c>
      <c r="B15">
        <v>1</v>
      </c>
      <c r="C15">
        <v>800</v>
      </c>
      <c r="D15">
        <v>0</v>
      </c>
      <c r="E15">
        <v>800</v>
      </c>
      <c r="G15">
        <v>800</v>
      </c>
      <c r="H15">
        <v>1</v>
      </c>
      <c r="I15">
        <v>100</v>
      </c>
      <c r="K15">
        <v>700</v>
      </c>
    </row>
    <row r="16" spans="1:11">
      <c r="A16" t="s">
        <v>94</v>
      </c>
      <c r="B16">
        <v>22</v>
      </c>
      <c r="C16">
        <v>800</v>
      </c>
      <c r="D16">
        <v>4000</v>
      </c>
      <c r="E16">
        <v>21600</v>
      </c>
      <c r="G16">
        <v>21600</v>
      </c>
      <c r="H16">
        <v>0</v>
      </c>
      <c r="I16">
        <v>0</v>
      </c>
      <c r="K16">
        <v>21600</v>
      </c>
    </row>
    <row r="17" spans="1:11">
      <c r="A17" t="s">
        <v>74</v>
      </c>
      <c r="B17">
        <v>9</v>
      </c>
      <c r="C17">
        <v>800</v>
      </c>
      <c r="D17">
        <v>0</v>
      </c>
      <c r="E17">
        <v>7200</v>
      </c>
      <c r="G17">
        <v>7200</v>
      </c>
      <c r="H17">
        <v>0</v>
      </c>
      <c r="I17">
        <v>0</v>
      </c>
      <c r="K17">
        <v>7200</v>
      </c>
    </row>
    <row r="18" spans="1:11">
      <c r="A18" t="s">
        <v>75</v>
      </c>
      <c r="B18">
        <v>23</v>
      </c>
      <c r="C18">
        <v>800</v>
      </c>
      <c r="D18">
        <v>4000</v>
      </c>
      <c r="E18">
        <v>22400</v>
      </c>
      <c r="G18">
        <v>22400</v>
      </c>
      <c r="H18">
        <v>23</v>
      </c>
      <c r="I18">
        <v>2300</v>
      </c>
      <c r="K18">
        <v>20100</v>
      </c>
    </row>
    <row r="19" spans="1:11">
      <c r="A19" t="s">
        <v>76</v>
      </c>
      <c r="B19">
        <v>23</v>
      </c>
      <c r="C19">
        <v>800</v>
      </c>
      <c r="D19">
        <v>4000</v>
      </c>
      <c r="E19">
        <v>22400</v>
      </c>
      <c r="G19">
        <v>22400</v>
      </c>
      <c r="H19">
        <v>1</v>
      </c>
      <c r="I19">
        <v>100</v>
      </c>
      <c r="K19">
        <v>22300</v>
      </c>
    </row>
    <row r="20" spans="1:11">
      <c r="A20" t="s">
        <v>77</v>
      </c>
      <c r="B20">
        <v>23</v>
      </c>
      <c r="C20">
        <v>800</v>
      </c>
      <c r="D20">
        <v>4000</v>
      </c>
      <c r="E20">
        <v>22400</v>
      </c>
      <c r="G20">
        <v>22400</v>
      </c>
      <c r="H20">
        <v>0</v>
      </c>
      <c r="I20">
        <v>0</v>
      </c>
      <c r="K20">
        <v>22400</v>
      </c>
    </row>
    <row r="21" spans="1:11">
      <c r="A21" t="s">
        <v>78</v>
      </c>
      <c r="B21">
        <v>8</v>
      </c>
      <c r="C21">
        <v>800</v>
      </c>
      <c r="D21">
        <v>0</v>
      </c>
      <c r="E21">
        <v>6400</v>
      </c>
      <c r="G21">
        <v>6400</v>
      </c>
      <c r="H21">
        <v>0</v>
      </c>
      <c r="I21">
        <v>0</v>
      </c>
      <c r="K21">
        <v>6400</v>
      </c>
    </row>
    <row r="22" spans="1:11">
      <c r="A22" t="s">
        <v>79</v>
      </c>
      <c r="B22">
        <v>17</v>
      </c>
      <c r="C22">
        <v>800</v>
      </c>
      <c r="D22">
        <v>2500</v>
      </c>
      <c r="E22">
        <v>16100</v>
      </c>
      <c r="G22">
        <v>16100</v>
      </c>
      <c r="H22">
        <v>17</v>
      </c>
      <c r="I22">
        <v>1700</v>
      </c>
      <c r="K22">
        <v>14400</v>
      </c>
    </row>
    <row r="23" spans="1:11">
      <c r="A23" t="s">
        <v>80</v>
      </c>
      <c r="B23">
        <v>14</v>
      </c>
      <c r="C23">
        <v>800</v>
      </c>
      <c r="D23">
        <v>2500</v>
      </c>
      <c r="E23">
        <v>13700</v>
      </c>
      <c r="G23">
        <v>13700</v>
      </c>
      <c r="H23">
        <v>0</v>
      </c>
      <c r="I23">
        <v>0</v>
      </c>
      <c r="K23">
        <v>13700</v>
      </c>
    </row>
    <row r="24" spans="1:11">
      <c r="A24" t="s">
        <v>81</v>
      </c>
      <c r="B24">
        <v>2</v>
      </c>
      <c r="C24">
        <v>800</v>
      </c>
      <c r="D24">
        <v>0</v>
      </c>
      <c r="E24">
        <v>1600</v>
      </c>
      <c r="G24">
        <v>1600</v>
      </c>
      <c r="H24">
        <v>0</v>
      </c>
      <c r="I24">
        <v>0</v>
      </c>
      <c r="K24">
        <v>1600</v>
      </c>
    </row>
    <row r="25" spans="1:11">
      <c r="A25" t="s">
        <v>82</v>
      </c>
      <c r="B25">
        <v>20</v>
      </c>
      <c r="C25">
        <v>800</v>
      </c>
      <c r="D25">
        <v>4000</v>
      </c>
      <c r="E25">
        <v>20000</v>
      </c>
      <c r="G25">
        <v>20000</v>
      </c>
      <c r="H25">
        <v>0</v>
      </c>
      <c r="I25">
        <v>0</v>
      </c>
      <c r="K25">
        <v>20000</v>
      </c>
    </row>
    <row r="26" spans="1:11">
      <c r="A26" t="s">
        <v>83</v>
      </c>
      <c r="B26">
        <v>16</v>
      </c>
      <c r="C26">
        <v>800</v>
      </c>
      <c r="D26">
        <v>2500</v>
      </c>
      <c r="E26">
        <v>15300</v>
      </c>
      <c r="G26">
        <v>15300</v>
      </c>
      <c r="H26">
        <v>16</v>
      </c>
      <c r="I26">
        <v>1600</v>
      </c>
      <c r="K26">
        <v>13700</v>
      </c>
    </row>
    <row r="27" spans="1:11">
      <c r="A27" t="s">
        <v>84</v>
      </c>
      <c r="B27">
        <v>7</v>
      </c>
      <c r="C27">
        <v>800</v>
      </c>
      <c r="D27">
        <v>0</v>
      </c>
      <c r="E27">
        <v>5600</v>
      </c>
      <c r="G27">
        <v>5600</v>
      </c>
      <c r="H27">
        <v>0</v>
      </c>
      <c r="I27">
        <v>0</v>
      </c>
      <c r="K27">
        <v>5600</v>
      </c>
    </row>
    <row r="28" spans="1:11">
      <c r="A28" t="s">
        <v>85</v>
      </c>
      <c r="B28">
        <v>2</v>
      </c>
      <c r="C28">
        <v>800</v>
      </c>
      <c r="D28">
        <v>0</v>
      </c>
      <c r="E28">
        <v>1600</v>
      </c>
      <c r="G28">
        <v>1600</v>
      </c>
      <c r="H28">
        <v>0</v>
      </c>
      <c r="I28">
        <v>0</v>
      </c>
      <c r="K28">
        <v>1600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7224-78FB-4BB9-8001-1345EAD30B46}">
  <sheetPr codeName="Sheet9"/>
  <dimension ref="A1:Q26"/>
  <sheetViews>
    <sheetView zoomScale="110" zoomScaleNormal="110" workbookViewId="0">
      <selection activeCell="N5" sqref="N5"/>
    </sheetView>
  </sheetViews>
  <sheetFormatPr defaultColWidth="3.625" defaultRowHeight="14.25"/>
  <cols>
    <col min="1" max="1" width="9" style="1" customWidth="1"/>
    <col min="2" max="2" width="3.625" style="1"/>
    <col min="3" max="3" width="5.125" style="1" customWidth="1"/>
    <col min="4" max="4" width="5.75" style="1" bestFit="1" customWidth="1"/>
    <col min="5" max="5" width="5.625" style="1" customWidth="1"/>
    <col min="6" max="6" width="5.5" style="1" bestFit="1" customWidth="1"/>
    <col min="7" max="7" width="5.625" style="1" customWidth="1"/>
    <col min="8" max="8" width="4.25" style="1" bestFit="1" customWidth="1"/>
    <col min="9" max="9" width="5.75" style="1" bestFit="1" customWidth="1"/>
    <col min="10" max="10" width="5.5" style="1" bestFit="1" customWidth="1"/>
    <col min="11" max="11" width="4" style="1" bestFit="1" customWidth="1"/>
    <col min="12" max="16384" width="3.625" style="1"/>
  </cols>
  <sheetData>
    <row r="1" spans="1:17" ht="20.100000000000001" customHeight="1">
      <c r="A1" s="2"/>
      <c r="B1" s="2"/>
      <c r="C1" s="57" t="s">
        <v>0</v>
      </c>
      <c r="D1" s="57"/>
      <c r="E1" s="57"/>
      <c r="F1" s="57"/>
      <c r="G1" s="57"/>
      <c r="H1" s="57"/>
      <c r="I1" s="57"/>
      <c r="J1" s="57"/>
      <c r="K1" s="57"/>
      <c r="L1" s="17"/>
      <c r="M1" s="17"/>
      <c r="N1" s="17"/>
      <c r="O1" s="17"/>
      <c r="P1" s="17"/>
      <c r="Q1" s="17"/>
    </row>
    <row r="2" spans="1:17" ht="20.100000000000001" customHeight="1">
      <c r="A2" s="2"/>
      <c r="B2" s="2"/>
      <c r="C2" s="2"/>
      <c r="D2" s="2"/>
      <c r="E2" s="2"/>
      <c r="F2" s="2"/>
      <c r="G2" s="2"/>
      <c r="H2" s="2"/>
      <c r="I2" s="2"/>
      <c r="J2" s="2"/>
      <c r="K2" s="2"/>
      <c r="L2" s="2"/>
      <c r="M2" s="2"/>
      <c r="N2" s="2"/>
      <c r="O2" s="2"/>
      <c r="P2" s="2"/>
      <c r="Q2" s="2"/>
    </row>
    <row r="3" spans="1:17" ht="20.100000000000001" customHeight="1">
      <c r="A3" s="2"/>
      <c r="B3" s="2"/>
      <c r="E3" s="16" t="s">
        <v>1</v>
      </c>
      <c r="F3" s="16">
        <v>3</v>
      </c>
      <c r="G3" s="15" t="s">
        <v>2</v>
      </c>
      <c r="H3" s="16">
        <v>3</v>
      </c>
      <c r="I3" s="15" t="s">
        <v>3</v>
      </c>
      <c r="J3" s="2"/>
      <c r="K3" s="19"/>
      <c r="L3" s="18"/>
      <c r="M3" s="19"/>
      <c r="N3" s="18"/>
      <c r="O3" s="18"/>
      <c r="P3" s="17"/>
      <c r="Q3" s="17"/>
    </row>
    <row r="4" spans="1:17" ht="20.100000000000001" customHeight="1">
      <c r="A4" s="2"/>
      <c r="B4" s="2"/>
      <c r="C4" s="58" t="s">
        <v>4</v>
      </c>
      <c r="D4" s="58"/>
      <c r="E4" s="16" t="s">
        <v>5</v>
      </c>
      <c r="F4" s="16">
        <v>3</v>
      </c>
      <c r="G4" s="15" t="s">
        <v>6</v>
      </c>
      <c r="H4" s="16">
        <v>4</v>
      </c>
      <c r="I4" s="15" t="s">
        <v>7</v>
      </c>
      <c r="J4" s="16">
        <v>27</v>
      </c>
      <c r="K4" s="15" t="s">
        <v>8</v>
      </c>
      <c r="L4" s="2"/>
      <c r="M4" s="15"/>
      <c r="N4" s="2"/>
      <c r="O4" s="15"/>
      <c r="P4" s="2"/>
      <c r="Q4" s="2"/>
    </row>
    <row r="5" spans="1:17" ht="30" customHeight="1">
      <c r="A5" s="2"/>
      <c r="B5" s="2"/>
      <c r="C5" s="58" t="s">
        <v>9</v>
      </c>
      <c r="D5" s="58"/>
      <c r="E5" s="59" t="str" cm="1">
        <f t="array" aca="1" ref="E5" ca="1">RIGHT(CELL("filename",E5),LEN(CELL("filename",E5))-FIND("]",CELL("filename",E5)))</f>
        <v>Detail</v>
      </c>
      <c r="F5" s="59"/>
      <c r="G5" s="59"/>
      <c r="H5" s="59"/>
      <c r="I5" s="59"/>
      <c r="J5" s="59"/>
      <c r="K5" s="15" t="s">
        <v>10</v>
      </c>
      <c r="L5" s="2"/>
      <c r="M5" s="2"/>
      <c r="N5" s="2"/>
      <c r="O5" s="2"/>
      <c r="P5" s="2"/>
      <c r="Q5" s="2"/>
    </row>
    <row r="6" spans="1:17" ht="20.100000000000001" customHeight="1" thickBot="1">
      <c r="A6" s="2"/>
      <c r="B6" s="2"/>
      <c r="C6" s="2"/>
      <c r="D6" s="2"/>
      <c r="E6" s="2"/>
      <c r="F6" s="2"/>
      <c r="G6" s="2"/>
      <c r="H6" s="2"/>
      <c r="I6" s="2"/>
      <c r="J6" s="2"/>
      <c r="K6" s="2"/>
      <c r="L6" s="2"/>
      <c r="M6" s="2"/>
      <c r="N6" s="2"/>
      <c r="O6" s="2"/>
      <c r="P6" s="2"/>
      <c r="Q6" s="2"/>
    </row>
    <row r="7" spans="1:17" ht="24.75" customHeight="1" thickBot="1">
      <c r="A7" s="2"/>
      <c r="B7" s="2"/>
      <c r="C7" s="60" t="s">
        <v>11</v>
      </c>
      <c r="D7" s="63" t="s">
        <v>12</v>
      </c>
      <c r="E7" s="63"/>
      <c r="F7" s="63"/>
      <c r="G7" s="63"/>
      <c r="H7" s="63"/>
      <c r="I7" s="63"/>
      <c r="J7" s="63"/>
      <c r="K7" s="64"/>
      <c r="L7" s="2"/>
      <c r="M7" s="2"/>
      <c r="N7" s="2"/>
      <c r="O7" s="2"/>
      <c r="P7" s="2"/>
      <c r="Q7" s="2"/>
    </row>
    <row r="8" spans="1:17" ht="24.75" customHeight="1">
      <c r="A8" s="2"/>
      <c r="B8" s="2"/>
      <c r="C8" s="61"/>
      <c r="D8" s="86" t="s">
        <v>13</v>
      </c>
      <c r="E8" s="87"/>
      <c r="F8" s="20"/>
      <c r="G8" s="14" t="s">
        <v>14</v>
      </c>
      <c r="H8" s="88">
        <f>800*F8</f>
        <v>0</v>
      </c>
      <c r="I8" s="89"/>
      <c r="J8" s="90"/>
      <c r="K8" s="13" t="s">
        <v>15</v>
      </c>
      <c r="L8" s="2"/>
      <c r="M8" s="2"/>
      <c r="N8" s="2"/>
      <c r="O8" s="2"/>
      <c r="P8" s="2"/>
      <c r="Q8" s="2"/>
    </row>
    <row r="9" spans="1:17" ht="24.75" customHeight="1">
      <c r="A9" s="2"/>
      <c r="B9" s="2"/>
      <c r="C9" s="61"/>
      <c r="D9" s="66" t="s">
        <v>16</v>
      </c>
      <c r="E9" s="66"/>
      <c r="F9" s="67"/>
      <c r="G9" s="68">
        <f>IF(F8&gt;=18,4000,IF(F8&gt;=12,2500,0))</f>
        <v>0</v>
      </c>
      <c r="H9" s="69"/>
      <c r="I9" s="69"/>
      <c r="J9" s="69"/>
      <c r="K9" s="13" t="s">
        <v>15</v>
      </c>
      <c r="L9" s="2"/>
      <c r="M9" s="2"/>
      <c r="N9" s="2"/>
      <c r="O9" s="2"/>
      <c r="P9" s="2"/>
      <c r="Q9" s="2"/>
    </row>
    <row r="10" spans="1:17" ht="24.75" customHeight="1">
      <c r="A10" s="2"/>
      <c r="B10" s="2"/>
      <c r="C10" s="61"/>
      <c r="D10" s="66" t="s">
        <v>17</v>
      </c>
      <c r="E10" s="66"/>
      <c r="F10" s="70"/>
      <c r="G10" s="65">
        <v>0</v>
      </c>
      <c r="H10" s="65"/>
      <c r="I10" s="65"/>
      <c r="J10" s="65"/>
      <c r="K10" s="13" t="s">
        <v>15</v>
      </c>
      <c r="L10" s="2"/>
      <c r="M10" s="2"/>
      <c r="N10" s="2"/>
      <c r="O10" s="2"/>
      <c r="P10" s="2"/>
      <c r="Q10" s="2"/>
    </row>
    <row r="11" spans="1:17" ht="24.75" customHeight="1">
      <c r="A11" s="2"/>
      <c r="B11" s="2"/>
      <c r="C11" s="61"/>
      <c r="D11" s="71"/>
      <c r="E11" s="71"/>
      <c r="F11" s="71"/>
      <c r="G11" s="65"/>
      <c r="H11" s="65"/>
      <c r="I11" s="65"/>
      <c r="J11" s="65"/>
      <c r="K11" s="12"/>
      <c r="L11" s="2"/>
      <c r="M11" s="2"/>
      <c r="N11" s="2"/>
      <c r="O11" s="2"/>
      <c r="P11" s="2"/>
      <c r="Q11" s="2"/>
    </row>
    <row r="12" spans="1:17" ht="24.75" customHeight="1">
      <c r="A12" s="2"/>
      <c r="B12" s="2"/>
      <c r="C12" s="61"/>
      <c r="D12" s="71"/>
      <c r="E12" s="71"/>
      <c r="F12" s="71"/>
      <c r="G12" s="65"/>
      <c r="H12" s="65"/>
      <c r="I12" s="65"/>
      <c r="J12" s="65"/>
      <c r="K12" s="12"/>
      <c r="L12" s="2"/>
      <c r="M12" s="2"/>
      <c r="N12" s="2"/>
      <c r="O12" s="2"/>
      <c r="P12" s="2"/>
      <c r="Q12" s="2"/>
    </row>
    <row r="13" spans="1:17" ht="24.75" customHeight="1">
      <c r="A13" s="2"/>
      <c r="B13" s="2"/>
      <c r="C13" s="61"/>
      <c r="D13" s="71"/>
      <c r="E13" s="71"/>
      <c r="F13" s="71"/>
      <c r="G13" s="65"/>
      <c r="H13" s="65"/>
      <c r="I13" s="65"/>
      <c r="J13" s="65"/>
      <c r="K13" s="12"/>
      <c r="L13" s="2"/>
      <c r="M13" s="2"/>
      <c r="N13" s="2"/>
      <c r="O13" s="2"/>
      <c r="P13" s="2"/>
      <c r="Q13" s="2"/>
    </row>
    <row r="14" spans="1:17" ht="24.75" customHeight="1">
      <c r="A14" s="2"/>
      <c r="B14" s="2"/>
      <c r="C14" s="61"/>
      <c r="D14" s="71"/>
      <c r="E14" s="71"/>
      <c r="F14" s="72"/>
      <c r="G14" s="65"/>
      <c r="H14" s="65"/>
      <c r="I14" s="65"/>
      <c r="J14" s="65"/>
      <c r="K14" s="12"/>
      <c r="L14" s="2"/>
      <c r="M14" s="2"/>
      <c r="N14" s="2"/>
      <c r="O14" s="2"/>
      <c r="P14" s="2"/>
      <c r="Q14" s="2"/>
    </row>
    <row r="15" spans="1:17" ht="24.75" customHeight="1" thickBot="1">
      <c r="A15" s="2"/>
      <c r="B15" s="2"/>
      <c r="C15" s="61"/>
      <c r="D15" s="73"/>
      <c r="E15" s="73"/>
      <c r="F15" s="74"/>
      <c r="G15" s="75"/>
      <c r="H15" s="76"/>
      <c r="I15" s="76"/>
      <c r="J15" s="77"/>
      <c r="K15" s="7"/>
      <c r="L15" s="2"/>
      <c r="M15" s="2"/>
      <c r="N15" s="2"/>
      <c r="O15" s="2"/>
      <c r="P15" s="2"/>
      <c r="Q15" s="2"/>
    </row>
    <row r="16" spans="1:17" ht="24.75" customHeight="1" thickTop="1" thickBot="1">
      <c r="A16" s="2"/>
      <c r="B16" s="2"/>
      <c r="C16" s="62"/>
      <c r="D16" s="84" t="s">
        <v>18</v>
      </c>
      <c r="E16" s="84"/>
      <c r="F16" s="85"/>
      <c r="G16" s="91">
        <f>SUM(G8:J15)</f>
        <v>0</v>
      </c>
      <c r="H16" s="92"/>
      <c r="I16" s="92"/>
      <c r="J16" s="93"/>
      <c r="K16" s="6" t="s">
        <v>15</v>
      </c>
      <c r="L16" s="2"/>
      <c r="M16" s="2"/>
      <c r="N16" s="2"/>
      <c r="O16" s="2"/>
      <c r="P16" s="2"/>
      <c r="Q16" s="2"/>
    </row>
    <row r="17" spans="1:17" ht="24.75" customHeight="1">
      <c r="A17" s="2"/>
      <c r="B17" s="2"/>
      <c r="C17" s="79" t="s">
        <v>19</v>
      </c>
      <c r="D17" s="11" t="s">
        <v>20</v>
      </c>
      <c r="E17" s="21"/>
      <c r="F17" s="10" t="s">
        <v>21</v>
      </c>
      <c r="G17" s="81">
        <f>E17*100</f>
        <v>0</v>
      </c>
      <c r="H17" s="82"/>
      <c r="I17" s="82"/>
      <c r="J17" s="83"/>
      <c r="K17" s="9" t="s">
        <v>15</v>
      </c>
      <c r="L17" s="2"/>
      <c r="M17" s="2"/>
      <c r="N17" s="2"/>
      <c r="O17" s="2"/>
      <c r="P17" s="2"/>
      <c r="Q17" s="2"/>
    </row>
    <row r="18" spans="1:17" ht="24.75" customHeight="1">
      <c r="A18" s="2"/>
      <c r="B18" s="2"/>
      <c r="C18" s="61"/>
      <c r="D18" s="71"/>
      <c r="E18" s="71"/>
      <c r="F18" s="72"/>
      <c r="G18" s="94"/>
      <c r="H18" s="95"/>
      <c r="I18" s="95"/>
      <c r="J18" s="96"/>
      <c r="K18" s="8"/>
      <c r="L18" s="2"/>
      <c r="M18" s="2"/>
      <c r="N18" s="2"/>
      <c r="O18" s="2"/>
      <c r="P18" s="2"/>
      <c r="Q18" s="2"/>
    </row>
    <row r="19" spans="1:17" ht="24.75" customHeight="1">
      <c r="A19" s="2"/>
      <c r="B19" s="2"/>
      <c r="C19" s="61"/>
      <c r="D19" s="71"/>
      <c r="E19" s="71"/>
      <c r="F19" s="72"/>
      <c r="G19" s="94"/>
      <c r="H19" s="95"/>
      <c r="I19" s="95"/>
      <c r="J19" s="96"/>
      <c r="K19" s="8"/>
      <c r="L19" s="2"/>
      <c r="M19" s="2"/>
      <c r="N19" s="2"/>
      <c r="O19" s="2"/>
      <c r="P19" s="2"/>
      <c r="Q19" s="2"/>
    </row>
    <row r="20" spans="1:17" ht="24.75" customHeight="1" thickBot="1">
      <c r="A20" s="2"/>
      <c r="B20" s="2"/>
      <c r="C20" s="61"/>
      <c r="D20" s="73"/>
      <c r="E20" s="73"/>
      <c r="F20" s="78"/>
      <c r="G20" s="103"/>
      <c r="H20" s="104"/>
      <c r="I20" s="104"/>
      <c r="J20" s="105"/>
      <c r="K20" s="7"/>
      <c r="L20" s="2"/>
      <c r="M20" s="2"/>
      <c r="N20" s="2"/>
      <c r="O20" s="2"/>
      <c r="P20" s="2"/>
      <c r="Q20" s="2"/>
    </row>
    <row r="21" spans="1:17" ht="24.75" customHeight="1" thickTop="1" thickBot="1">
      <c r="A21" s="2"/>
      <c r="B21" s="2"/>
      <c r="C21" s="80"/>
      <c r="D21" s="84" t="s">
        <v>22</v>
      </c>
      <c r="E21" s="84"/>
      <c r="F21" s="85"/>
      <c r="G21" s="101">
        <f>SUM(G17:J20)</f>
        <v>0</v>
      </c>
      <c r="H21" s="102"/>
      <c r="I21" s="102"/>
      <c r="J21" s="102"/>
      <c r="K21" s="6" t="s">
        <v>23</v>
      </c>
      <c r="L21" s="2"/>
      <c r="M21" s="2"/>
      <c r="N21" s="2"/>
      <c r="O21" s="2"/>
      <c r="P21" s="2"/>
      <c r="Q21" s="2"/>
    </row>
    <row r="22" spans="1:17" ht="24.75" customHeight="1" thickBot="1">
      <c r="A22" s="2"/>
      <c r="B22" s="2"/>
      <c r="C22" s="97" t="s">
        <v>24</v>
      </c>
      <c r="D22" s="63"/>
      <c r="E22" s="63"/>
      <c r="F22" s="63"/>
      <c r="G22" s="98">
        <f>G16-G21</f>
        <v>0</v>
      </c>
      <c r="H22" s="99"/>
      <c r="I22" s="99"/>
      <c r="J22" s="100"/>
      <c r="K22" s="5" t="s">
        <v>15</v>
      </c>
      <c r="L22" s="2"/>
      <c r="M22" s="2"/>
      <c r="N22" s="2"/>
      <c r="O22" s="2"/>
      <c r="P22" s="2"/>
      <c r="Q22" s="2"/>
    </row>
    <row r="23" spans="1:17" ht="20.100000000000001" customHeight="1">
      <c r="A23" s="2"/>
      <c r="B23" s="2"/>
      <c r="C23" s="2"/>
      <c r="D23" s="2"/>
      <c r="E23" s="2"/>
      <c r="F23" s="2"/>
      <c r="G23" s="2"/>
      <c r="H23" s="2"/>
      <c r="I23" s="2"/>
      <c r="J23" s="2"/>
      <c r="K23" s="2"/>
      <c r="L23" s="2"/>
      <c r="M23" s="2"/>
      <c r="N23" s="2"/>
      <c r="O23" s="2"/>
      <c r="P23" s="2"/>
      <c r="Q23" s="2"/>
    </row>
    <row r="24" spans="1:17" ht="20.100000000000001" customHeight="1">
      <c r="A24" s="2"/>
      <c r="B24" s="2"/>
      <c r="C24" s="2"/>
      <c r="D24" s="2"/>
      <c r="E24" s="2"/>
      <c r="F24" s="2"/>
      <c r="G24" s="2"/>
      <c r="H24" s="2"/>
      <c r="I24" s="2"/>
      <c r="J24" s="2"/>
      <c r="K24" s="2"/>
      <c r="L24" s="2"/>
      <c r="M24" s="2"/>
      <c r="N24" s="2"/>
      <c r="O24" s="2"/>
      <c r="P24" s="2"/>
      <c r="Q24" s="2"/>
    </row>
    <row r="25" spans="1:17" ht="30" customHeight="1">
      <c r="A25" s="2"/>
      <c r="B25" s="2"/>
      <c r="C25" s="58" t="s">
        <v>25</v>
      </c>
      <c r="D25" s="58"/>
      <c r="E25" s="58"/>
      <c r="F25" s="58"/>
      <c r="G25" s="58"/>
      <c r="H25" s="58"/>
      <c r="I25" s="4"/>
      <c r="J25" s="4"/>
      <c r="K25" s="4"/>
      <c r="L25" s="4"/>
      <c r="M25" s="4"/>
      <c r="N25" s="4"/>
      <c r="O25" s="4"/>
      <c r="P25" s="4"/>
      <c r="Q25" s="2"/>
    </row>
    <row r="26" spans="1:17" ht="30" customHeight="1">
      <c r="A26" s="2"/>
      <c r="B26" s="2"/>
      <c r="C26" s="58" t="s">
        <v>26</v>
      </c>
      <c r="D26" s="58"/>
      <c r="E26" s="58"/>
      <c r="F26" s="58"/>
      <c r="G26" s="2"/>
      <c r="H26" s="2"/>
      <c r="I26" s="2"/>
      <c r="J26" s="3"/>
      <c r="K26" s="3"/>
      <c r="L26" s="3"/>
      <c r="M26" s="3"/>
      <c r="N26" s="3"/>
      <c r="O26" s="3"/>
      <c r="P26" s="3"/>
      <c r="Q26" s="2"/>
    </row>
  </sheetData>
  <sheetProtection formatCells="0" formatColumns="0" formatRows="0" insertColumns="0" insertRows="0" insertHyperlinks="0" deleteColumns="0" deleteRows="0" sort="0" autoFilter="0" pivotTables="0"/>
  <mergeCells count="38">
    <mergeCell ref="G20:J20"/>
    <mergeCell ref="H8:J8"/>
    <mergeCell ref="D11:F11"/>
    <mergeCell ref="D16:F16"/>
    <mergeCell ref="G16:J16"/>
    <mergeCell ref="G18:J18"/>
    <mergeCell ref="C25:H25"/>
    <mergeCell ref="C26:F26"/>
    <mergeCell ref="D14:F14"/>
    <mergeCell ref="G14:J14"/>
    <mergeCell ref="D15:F15"/>
    <mergeCell ref="G15:J15"/>
    <mergeCell ref="D20:F20"/>
    <mergeCell ref="C17:C21"/>
    <mergeCell ref="G17:J17"/>
    <mergeCell ref="D18:F18"/>
    <mergeCell ref="D19:F19"/>
    <mergeCell ref="D21:F21"/>
    <mergeCell ref="C22:F22"/>
    <mergeCell ref="G22:J22"/>
    <mergeCell ref="G21:J21"/>
    <mergeCell ref="G19:J19"/>
    <mergeCell ref="C1:K1"/>
    <mergeCell ref="C5:D5"/>
    <mergeCell ref="E5:J5"/>
    <mergeCell ref="C7:C16"/>
    <mergeCell ref="D7:K7"/>
    <mergeCell ref="G11:J11"/>
    <mergeCell ref="D9:F9"/>
    <mergeCell ref="G9:J9"/>
    <mergeCell ref="D10:F10"/>
    <mergeCell ref="G10:J10"/>
    <mergeCell ref="C4:D4"/>
    <mergeCell ref="D12:F12"/>
    <mergeCell ref="G12:J12"/>
    <mergeCell ref="D13:F13"/>
    <mergeCell ref="G13:J13"/>
    <mergeCell ref="D8:E8"/>
  </mergeCells>
  <phoneticPr fontId="1"/>
  <printOptions horizontalCentered="1" verticalCentered="1"/>
  <pageMargins left="0.70866141732283472" right="0.70866141732283472" top="0.74803149606299213" bottom="0.74803149606299213" header="0.31496062992125984" footer="0.31496062992125984"/>
  <pageSetup paperSize="9" scale="115"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95DDE-EC03-4625-A376-332102F18440}">
  <sheetPr codeName="Sheet2"/>
  <dimension ref="A1:AO45"/>
  <sheetViews>
    <sheetView topLeftCell="A4" workbookViewId="0">
      <selection activeCell="AG3" sqref="AG3"/>
    </sheetView>
  </sheetViews>
  <sheetFormatPr defaultColWidth="2.625" defaultRowHeight="18" customHeight="1"/>
  <cols>
    <col min="1" max="24" width="2.625" style="22"/>
    <col min="25" max="25" width="1.125" style="22" customWidth="1"/>
    <col min="26" max="26" width="5.5" style="22" customWidth="1"/>
    <col min="27" max="27" width="2.625" style="22"/>
    <col min="28" max="28" width="1.625" style="22" customWidth="1"/>
    <col min="29" max="29" width="3.5" style="22" bestFit="1" customWidth="1"/>
    <col min="30" max="30" width="2.625" style="22"/>
    <col min="31" max="31" width="0.875" style="22" customWidth="1"/>
    <col min="32" max="32" width="3.5" style="22" customWidth="1"/>
    <col min="33" max="16384" width="2.625" style="22"/>
  </cols>
  <sheetData>
    <row r="1" spans="1:41" ht="45" customHeight="1">
      <c r="A1" s="145" t="s">
        <v>42</v>
      </c>
      <c r="B1" s="145"/>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row>
    <row r="2" spans="1:41" ht="18" customHeight="1">
      <c r="A2" s="33"/>
      <c r="B2" s="33"/>
      <c r="C2" s="33"/>
      <c r="D2" s="33"/>
      <c r="E2" s="33"/>
      <c r="F2" s="33"/>
      <c r="G2" s="33"/>
      <c r="H2" s="33"/>
      <c r="I2" s="33"/>
      <c r="J2" s="33"/>
      <c r="K2" s="33"/>
      <c r="L2" s="33"/>
      <c r="M2" s="33"/>
      <c r="N2" s="33"/>
      <c r="O2" s="33"/>
      <c r="P2" s="33"/>
      <c r="Q2" s="33"/>
      <c r="R2" s="33"/>
      <c r="S2" s="33"/>
      <c r="T2" s="33"/>
      <c r="U2" s="33"/>
      <c r="V2" s="33"/>
      <c r="W2" s="33"/>
      <c r="X2" s="33"/>
      <c r="Y2" s="33"/>
      <c r="Z2" s="33"/>
      <c r="AA2" s="33"/>
      <c r="AB2" s="33"/>
      <c r="AC2" s="33"/>
      <c r="AD2" s="33"/>
      <c r="AE2" s="33"/>
      <c r="AF2" s="33"/>
      <c r="AG2" s="33"/>
    </row>
    <row r="3" spans="1:41" ht="18" customHeight="1">
      <c r="S3" s="132" t="s">
        <v>41</v>
      </c>
      <c r="T3" s="132"/>
      <c r="U3" s="132"/>
      <c r="V3" s="132"/>
      <c r="Z3" s="32"/>
      <c r="AA3" s="31" t="s">
        <v>6</v>
      </c>
      <c r="AB3" s="31"/>
      <c r="AC3" s="32"/>
      <c r="AD3" s="31" t="s">
        <v>7</v>
      </c>
      <c r="AE3" s="31"/>
      <c r="AF3" s="32"/>
      <c r="AG3" s="31" t="s">
        <v>8</v>
      </c>
    </row>
    <row r="5" spans="1:41" ht="18" customHeight="1">
      <c r="A5" s="30"/>
      <c r="B5" s="30"/>
      <c r="C5" s="30"/>
      <c r="D5" s="30"/>
      <c r="E5" s="30"/>
      <c r="F5" s="30"/>
      <c r="G5" s="30"/>
      <c r="H5" s="30"/>
      <c r="I5" s="30"/>
      <c r="J5" s="30"/>
      <c r="K5" s="30"/>
      <c r="L5" s="30"/>
    </row>
    <row r="6" spans="1:41" ht="18" customHeight="1">
      <c r="A6" s="29"/>
      <c r="B6" s="29"/>
      <c r="C6" s="29"/>
      <c r="D6" s="29"/>
      <c r="E6" s="29"/>
      <c r="F6" s="29"/>
      <c r="G6" s="29"/>
      <c r="H6" s="29"/>
      <c r="I6" s="29"/>
      <c r="J6" s="29"/>
      <c r="K6" s="29"/>
      <c r="L6" s="29"/>
      <c r="U6" s="28"/>
      <c r="V6" s="28"/>
      <c r="W6" s="28"/>
      <c r="X6" s="28"/>
      <c r="Y6" s="28"/>
      <c r="Z6" s="28"/>
      <c r="AA6" s="28"/>
      <c r="AB6" s="28"/>
      <c r="AC6" s="28"/>
      <c r="AD6" s="28"/>
      <c r="AE6" s="28"/>
      <c r="AF6" s="28"/>
      <c r="AG6" s="28"/>
    </row>
    <row r="7" spans="1:41" ht="18" customHeight="1">
      <c r="A7" s="29"/>
      <c r="B7" s="29"/>
      <c r="C7" s="29"/>
      <c r="D7" s="29"/>
      <c r="E7" s="29"/>
      <c r="F7" s="29"/>
      <c r="G7" s="29"/>
      <c r="H7" s="29"/>
      <c r="I7" s="29"/>
      <c r="J7" s="29"/>
      <c r="K7" s="29"/>
      <c r="L7" s="29"/>
      <c r="U7" s="28"/>
      <c r="V7" s="28"/>
      <c r="W7" s="28"/>
      <c r="X7" s="28"/>
      <c r="Y7" s="28"/>
      <c r="Z7" s="28"/>
      <c r="AA7" s="28"/>
      <c r="AB7" s="28"/>
      <c r="AC7" s="28"/>
      <c r="AD7" s="28"/>
      <c r="AE7" s="28"/>
      <c r="AF7" s="28"/>
      <c r="AG7" s="28"/>
    </row>
    <row r="8" spans="1:41" ht="18" customHeight="1">
      <c r="A8" s="146" t="s">
        <v>40</v>
      </c>
      <c r="B8" s="146"/>
      <c r="C8" s="146"/>
      <c r="D8" s="146"/>
      <c r="E8" s="146"/>
      <c r="F8" s="146"/>
      <c r="G8" s="146"/>
      <c r="H8" s="146"/>
      <c r="I8" s="146"/>
      <c r="J8" s="146"/>
      <c r="K8" s="146"/>
      <c r="L8" s="146"/>
      <c r="M8" s="147" t="s">
        <v>39</v>
      </c>
      <c r="N8" s="147"/>
      <c r="U8" s="148" t="str" cm="1">
        <f t="array" aca="1" ref="U8" ca="1">RIGHT(CELL("filename",U8),LEN(CELL("filename",U8))-FIND("]",CELL("filename",U8)))</f>
        <v>Receipt</v>
      </c>
      <c r="V8" s="148"/>
      <c r="W8" s="148"/>
      <c r="X8" s="148"/>
      <c r="Y8" s="148"/>
      <c r="Z8" s="148"/>
      <c r="AA8" s="148"/>
      <c r="AB8" s="148"/>
      <c r="AC8" s="148"/>
      <c r="AD8" s="148"/>
      <c r="AE8" s="148"/>
      <c r="AF8" s="148"/>
      <c r="AG8" s="148"/>
    </row>
    <row r="9" spans="1:41" ht="18" customHeight="1">
      <c r="A9" s="146"/>
      <c r="B9" s="146"/>
      <c r="C9" s="146"/>
      <c r="D9" s="146"/>
      <c r="E9" s="146"/>
      <c r="F9" s="146"/>
      <c r="G9" s="146"/>
      <c r="H9" s="146"/>
      <c r="I9" s="146"/>
      <c r="J9" s="146"/>
      <c r="K9" s="146"/>
      <c r="L9" s="146"/>
      <c r="M9" s="147"/>
      <c r="N9" s="147"/>
      <c r="U9" s="148"/>
      <c r="V9" s="148"/>
      <c r="W9" s="148"/>
      <c r="X9" s="148"/>
      <c r="Y9" s="148"/>
      <c r="Z9" s="148"/>
      <c r="AA9" s="148"/>
      <c r="AB9" s="148"/>
      <c r="AC9" s="148"/>
      <c r="AD9" s="148"/>
      <c r="AE9" s="148"/>
      <c r="AF9" s="148"/>
      <c r="AG9" s="148"/>
    </row>
    <row r="13" spans="1:41" ht="18" customHeight="1">
      <c r="B13" s="132" t="s">
        <v>38</v>
      </c>
      <c r="C13" s="132"/>
      <c r="D13" s="132"/>
      <c r="E13" s="132"/>
      <c r="F13" s="132"/>
      <c r="G13" s="132"/>
      <c r="H13" s="132"/>
      <c r="I13" s="132"/>
      <c r="J13" s="132"/>
      <c r="K13" s="132"/>
      <c r="L13" s="132"/>
      <c r="Z13" s="137" t="s">
        <v>37</v>
      </c>
      <c r="AA13" s="137"/>
      <c r="AB13" s="137"/>
      <c r="AC13" s="137"/>
      <c r="AD13" s="137"/>
      <c r="AL13" s="27"/>
      <c r="AM13" s="27"/>
      <c r="AN13" s="27"/>
      <c r="AO13" s="27"/>
    </row>
    <row r="14" spans="1:41" ht="18" customHeight="1">
      <c r="Z14" s="138"/>
      <c r="AA14" s="138"/>
      <c r="AB14" s="138"/>
      <c r="AC14" s="138"/>
      <c r="AD14" s="138"/>
      <c r="AL14" s="26"/>
      <c r="AM14" s="26"/>
      <c r="AN14" s="26"/>
      <c r="AO14" s="26"/>
    </row>
    <row r="15" spans="1:41" ht="18" customHeight="1">
      <c r="Z15" s="138"/>
      <c r="AA15" s="138"/>
      <c r="AB15" s="138"/>
      <c r="AC15" s="138"/>
      <c r="AD15" s="138"/>
      <c r="AL15" s="26"/>
      <c r="AM15" s="26"/>
      <c r="AN15" s="26"/>
      <c r="AO15" s="26"/>
    </row>
    <row r="16" spans="1:41" ht="18" customHeight="1">
      <c r="Z16" s="138"/>
      <c r="AA16" s="138"/>
      <c r="AB16" s="138"/>
      <c r="AC16" s="138"/>
      <c r="AD16" s="138"/>
      <c r="AL16" s="26"/>
      <c r="AM16" s="26"/>
      <c r="AN16" s="26"/>
      <c r="AO16" s="26"/>
    </row>
    <row r="17" spans="1:33" ht="18" customHeight="1">
      <c r="Z17" s="138"/>
      <c r="AA17" s="138"/>
      <c r="AB17" s="138"/>
      <c r="AC17" s="138"/>
      <c r="AD17" s="138"/>
    </row>
    <row r="19" spans="1:33" ht="24.75" customHeight="1">
      <c r="A19" s="139" t="s">
        <v>36</v>
      </c>
      <c r="B19" s="139"/>
      <c r="C19" s="139"/>
      <c r="D19" s="139"/>
      <c r="E19" s="139"/>
      <c r="F19" s="139"/>
      <c r="G19" s="139"/>
      <c r="H19" s="139"/>
      <c r="I19" s="139"/>
      <c r="J19" s="139"/>
      <c r="K19" s="139" t="s">
        <v>35</v>
      </c>
      <c r="L19" s="139"/>
      <c r="M19" s="139"/>
      <c r="N19" s="139"/>
      <c r="O19" s="139" t="s">
        <v>34</v>
      </c>
      <c r="P19" s="139"/>
      <c r="Q19" s="139"/>
      <c r="R19" s="139"/>
      <c r="S19" s="139"/>
      <c r="T19" s="139" t="s">
        <v>33</v>
      </c>
      <c r="U19" s="139"/>
      <c r="V19" s="139"/>
      <c r="W19" s="139"/>
      <c r="X19" s="139"/>
      <c r="Y19" s="139"/>
      <c r="Z19" s="139" t="s">
        <v>32</v>
      </c>
      <c r="AA19" s="139"/>
      <c r="AB19" s="139"/>
      <c r="AC19" s="139"/>
      <c r="AD19" s="139"/>
      <c r="AE19" s="139"/>
      <c r="AF19" s="139"/>
      <c r="AG19" s="139"/>
    </row>
    <row r="20" spans="1:33" ht="24.75" customHeight="1">
      <c r="A20" s="109" t="s">
        <v>31</v>
      </c>
      <c r="B20" s="110"/>
      <c r="C20" s="110"/>
      <c r="D20" s="110"/>
      <c r="E20" s="110"/>
      <c r="F20" s="110"/>
      <c r="G20" s="110"/>
      <c r="H20" s="110"/>
      <c r="I20" s="110"/>
      <c r="J20" s="111"/>
      <c r="K20" s="140"/>
      <c r="L20" s="140"/>
      <c r="M20" s="140"/>
      <c r="N20" s="140"/>
      <c r="O20" s="141">
        <v>800</v>
      </c>
      <c r="P20" s="141"/>
      <c r="Q20" s="141"/>
      <c r="R20" s="141"/>
      <c r="S20" s="141"/>
      <c r="T20" s="142">
        <f>O20*K20</f>
        <v>0</v>
      </c>
      <c r="U20" s="142"/>
      <c r="V20" s="142"/>
      <c r="W20" s="142"/>
      <c r="X20" s="142"/>
      <c r="Y20" s="142"/>
      <c r="Z20" s="112"/>
      <c r="AA20" s="113"/>
      <c r="AB20" s="113"/>
      <c r="AC20" s="113"/>
      <c r="AD20" s="113"/>
      <c r="AE20" s="113"/>
      <c r="AF20" s="113"/>
      <c r="AG20" s="114"/>
    </row>
    <row r="21" spans="1:33" ht="24.75" customHeight="1">
      <c r="A21" s="106" t="s">
        <v>30</v>
      </c>
      <c r="B21" s="107"/>
      <c r="C21" s="107"/>
      <c r="D21" s="107"/>
      <c r="E21" s="107"/>
      <c r="F21" s="107"/>
      <c r="G21" s="107"/>
      <c r="H21" s="107"/>
      <c r="I21" s="107"/>
      <c r="J21" s="108"/>
      <c r="K21" s="143"/>
      <c r="L21" s="143"/>
      <c r="M21" s="143"/>
      <c r="N21" s="143"/>
      <c r="O21" s="128"/>
      <c r="P21" s="128"/>
      <c r="Q21" s="128"/>
      <c r="R21" s="128"/>
      <c r="S21" s="128"/>
      <c r="T21" s="144">
        <f>IF(K20&gt;=18,4000,IF(K20&gt;=12,2500,0))</f>
        <v>0</v>
      </c>
      <c r="U21" s="144"/>
      <c r="V21" s="144"/>
      <c r="W21" s="144"/>
      <c r="X21" s="144"/>
      <c r="Y21" s="144"/>
      <c r="Z21" s="25"/>
      <c r="AA21" s="119"/>
      <c r="AB21" s="119"/>
      <c r="AC21" s="119"/>
      <c r="AD21" s="119"/>
      <c r="AE21" s="119"/>
      <c r="AF21" s="119"/>
      <c r="AG21" s="24"/>
    </row>
    <row r="22" spans="1:33" ht="24.75" customHeight="1">
      <c r="A22" s="109" t="s">
        <v>29</v>
      </c>
      <c r="B22" s="110"/>
      <c r="C22" s="110"/>
      <c r="D22" s="110"/>
      <c r="E22" s="110"/>
      <c r="F22" s="110"/>
      <c r="G22" s="110"/>
      <c r="H22" s="110"/>
      <c r="I22" s="110"/>
      <c r="J22" s="111"/>
      <c r="K22" s="133"/>
      <c r="L22" s="133"/>
      <c r="M22" s="133"/>
      <c r="N22" s="133"/>
      <c r="O22" s="131"/>
      <c r="P22" s="131"/>
      <c r="Q22" s="131"/>
      <c r="R22" s="131"/>
      <c r="S22" s="131"/>
      <c r="T22" s="134">
        <v>0</v>
      </c>
      <c r="U22" s="135"/>
      <c r="V22" s="135"/>
      <c r="W22" s="135"/>
      <c r="X22" s="135"/>
      <c r="Y22" s="136"/>
      <c r="Z22" s="121"/>
      <c r="AA22" s="122"/>
      <c r="AB22" s="122"/>
      <c r="AC22" s="122"/>
      <c r="AD22" s="122"/>
      <c r="AE22" s="122"/>
      <c r="AF22" s="122"/>
      <c r="AG22" s="123"/>
    </row>
    <row r="23" spans="1:33" ht="24.75" customHeight="1">
      <c r="A23" s="115"/>
      <c r="B23" s="116"/>
      <c r="C23" s="116"/>
      <c r="D23" s="116"/>
      <c r="E23" s="116"/>
      <c r="F23" s="116"/>
      <c r="G23" s="116"/>
      <c r="H23" s="116"/>
      <c r="I23" s="116"/>
      <c r="J23" s="117"/>
      <c r="K23" s="129"/>
      <c r="L23" s="129"/>
      <c r="M23" s="129"/>
      <c r="N23" s="129"/>
      <c r="O23" s="128"/>
      <c r="P23" s="128"/>
      <c r="Q23" s="128"/>
      <c r="R23" s="128"/>
      <c r="S23" s="128"/>
      <c r="T23" s="129"/>
      <c r="U23" s="129"/>
      <c r="V23" s="129"/>
      <c r="W23" s="129"/>
      <c r="X23" s="129"/>
      <c r="Y23" s="129"/>
      <c r="Z23" s="118"/>
      <c r="AA23" s="119"/>
      <c r="AB23" s="119"/>
      <c r="AC23" s="119"/>
      <c r="AD23" s="119"/>
      <c r="AE23" s="119"/>
      <c r="AF23" s="119"/>
      <c r="AG23" s="120"/>
    </row>
    <row r="24" spans="1:33" ht="24.75" customHeight="1">
      <c r="A24" s="112"/>
      <c r="B24" s="113"/>
      <c r="C24" s="113"/>
      <c r="D24" s="113"/>
      <c r="E24" s="113"/>
      <c r="F24" s="113"/>
      <c r="G24" s="113"/>
      <c r="H24" s="113"/>
      <c r="I24" s="113"/>
      <c r="J24" s="114"/>
      <c r="K24" s="130"/>
      <c r="L24" s="130"/>
      <c r="M24" s="130"/>
      <c r="N24" s="130"/>
      <c r="O24" s="131"/>
      <c r="P24" s="131"/>
      <c r="Q24" s="131"/>
      <c r="R24" s="131"/>
      <c r="S24" s="131"/>
      <c r="T24" s="130"/>
      <c r="U24" s="130"/>
      <c r="V24" s="130"/>
      <c r="W24" s="130"/>
      <c r="X24" s="130"/>
      <c r="Y24" s="130"/>
      <c r="Z24" s="121"/>
      <c r="AA24" s="122"/>
      <c r="AB24" s="122"/>
      <c r="AC24" s="122"/>
      <c r="AD24" s="122"/>
      <c r="AE24" s="122"/>
      <c r="AF24" s="122"/>
      <c r="AG24" s="123"/>
    </row>
    <row r="25" spans="1:33" ht="24.75" customHeight="1">
      <c r="A25" s="115"/>
      <c r="B25" s="116"/>
      <c r="C25" s="116"/>
      <c r="D25" s="116"/>
      <c r="E25" s="116"/>
      <c r="F25" s="116"/>
      <c r="G25" s="116"/>
      <c r="H25" s="116"/>
      <c r="I25" s="116"/>
      <c r="J25" s="117"/>
      <c r="K25" s="129"/>
      <c r="L25" s="129"/>
      <c r="M25" s="129"/>
      <c r="N25" s="129"/>
      <c r="O25" s="128"/>
      <c r="P25" s="128"/>
      <c r="Q25" s="128"/>
      <c r="R25" s="128"/>
      <c r="S25" s="128"/>
      <c r="T25" s="129"/>
      <c r="U25" s="129"/>
      <c r="V25" s="129"/>
      <c r="W25" s="129"/>
      <c r="X25" s="129"/>
      <c r="Y25" s="129"/>
      <c r="Z25" s="118"/>
      <c r="AA25" s="119"/>
      <c r="AB25" s="119"/>
      <c r="AC25" s="119"/>
      <c r="AD25" s="119"/>
      <c r="AE25" s="119"/>
      <c r="AF25" s="119"/>
      <c r="AG25" s="120"/>
    </row>
    <row r="26" spans="1:33" ht="24.75" customHeight="1">
      <c r="A26" s="112"/>
      <c r="B26" s="113"/>
      <c r="C26" s="113"/>
      <c r="D26" s="113"/>
      <c r="E26" s="113"/>
      <c r="F26" s="113"/>
      <c r="G26" s="113"/>
      <c r="H26" s="113"/>
      <c r="I26" s="113"/>
      <c r="J26" s="114"/>
      <c r="K26" s="130"/>
      <c r="L26" s="130"/>
      <c r="M26" s="130"/>
      <c r="N26" s="130"/>
      <c r="O26" s="131"/>
      <c r="P26" s="131"/>
      <c r="Q26" s="131"/>
      <c r="R26" s="131"/>
      <c r="S26" s="131"/>
      <c r="T26" s="130"/>
      <c r="U26" s="130"/>
      <c r="V26" s="130"/>
      <c r="W26" s="130"/>
      <c r="X26" s="130"/>
      <c r="Y26" s="130"/>
      <c r="Z26" s="121"/>
      <c r="AA26" s="122"/>
      <c r="AB26" s="122"/>
      <c r="AC26" s="122"/>
      <c r="AD26" s="122"/>
      <c r="AE26" s="122"/>
      <c r="AF26" s="122"/>
      <c r="AG26" s="123"/>
    </row>
    <row r="27" spans="1:33" ht="24.75" customHeight="1">
      <c r="A27" s="115"/>
      <c r="B27" s="116"/>
      <c r="C27" s="116"/>
      <c r="D27" s="116"/>
      <c r="E27" s="116"/>
      <c r="F27" s="116"/>
      <c r="G27" s="116"/>
      <c r="H27" s="116"/>
      <c r="I27" s="116"/>
      <c r="J27" s="117"/>
      <c r="K27" s="129"/>
      <c r="L27" s="129"/>
      <c r="M27" s="129"/>
      <c r="N27" s="129"/>
      <c r="O27" s="128"/>
      <c r="P27" s="128"/>
      <c r="Q27" s="128"/>
      <c r="R27" s="128"/>
      <c r="S27" s="128"/>
      <c r="T27" s="129"/>
      <c r="U27" s="129"/>
      <c r="V27" s="129"/>
      <c r="W27" s="129"/>
      <c r="X27" s="129"/>
      <c r="Y27" s="129"/>
      <c r="Z27" s="118"/>
      <c r="AA27" s="119"/>
      <c r="AB27" s="119"/>
      <c r="AC27" s="119"/>
      <c r="AD27" s="119"/>
      <c r="AE27" s="119"/>
      <c r="AF27" s="119"/>
      <c r="AG27" s="120"/>
    </row>
    <row r="28" spans="1:33" ht="24.75" customHeight="1">
      <c r="A28" s="112"/>
      <c r="B28" s="113"/>
      <c r="C28" s="113"/>
      <c r="D28" s="113"/>
      <c r="E28" s="113"/>
      <c r="F28" s="113"/>
      <c r="G28" s="113"/>
      <c r="H28" s="113"/>
      <c r="I28" s="113"/>
      <c r="J28" s="114"/>
      <c r="K28" s="130"/>
      <c r="L28" s="130"/>
      <c r="M28" s="130"/>
      <c r="N28" s="130"/>
      <c r="O28" s="131"/>
      <c r="P28" s="131"/>
      <c r="Q28" s="131"/>
      <c r="R28" s="131"/>
      <c r="S28" s="131"/>
      <c r="T28" s="130"/>
      <c r="U28" s="130"/>
      <c r="V28" s="130"/>
      <c r="W28" s="130"/>
      <c r="X28" s="130"/>
      <c r="Y28" s="130"/>
      <c r="Z28" s="121"/>
      <c r="AA28" s="122"/>
      <c r="AB28" s="122"/>
      <c r="AC28" s="122"/>
      <c r="AD28" s="122"/>
      <c r="AE28" s="122"/>
      <c r="AF28" s="122"/>
      <c r="AG28" s="123"/>
    </row>
    <row r="29" spans="1:33" ht="24.75" customHeight="1">
      <c r="A29" s="115"/>
      <c r="B29" s="116"/>
      <c r="C29" s="116"/>
      <c r="D29" s="116"/>
      <c r="E29" s="116"/>
      <c r="F29" s="116"/>
      <c r="G29" s="116"/>
      <c r="H29" s="116"/>
      <c r="I29" s="116"/>
      <c r="J29" s="117"/>
      <c r="K29" s="129"/>
      <c r="L29" s="129"/>
      <c r="M29" s="129"/>
      <c r="N29" s="129"/>
      <c r="O29" s="128"/>
      <c r="P29" s="128"/>
      <c r="Q29" s="128"/>
      <c r="R29" s="128"/>
      <c r="S29" s="128"/>
      <c r="T29" s="129"/>
      <c r="U29" s="129"/>
      <c r="V29" s="129"/>
      <c r="W29" s="129"/>
      <c r="X29" s="129"/>
      <c r="Y29" s="129"/>
      <c r="Z29" s="118"/>
      <c r="AA29" s="119"/>
      <c r="AB29" s="119"/>
      <c r="AC29" s="119"/>
      <c r="AD29" s="119"/>
      <c r="AE29" s="119"/>
      <c r="AF29" s="119"/>
      <c r="AG29" s="120"/>
    </row>
    <row r="30" spans="1:33" ht="24.75" customHeight="1">
      <c r="K30" s="124" t="s">
        <v>28</v>
      </c>
      <c r="L30" s="124"/>
      <c r="M30" s="124"/>
      <c r="N30" s="124"/>
      <c r="O30" s="124"/>
      <c r="P30" s="124"/>
      <c r="Q30" s="124"/>
      <c r="R30" s="124"/>
      <c r="S30" s="124"/>
      <c r="T30" s="125">
        <f>SUM(T20:Y29)</f>
        <v>0</v>
      </c>
      <c r="U30" s="125"/>
      <c r="V30" s="125"/>
      <c r="W30" s="125"/>
      <c r="X30" s="125"/>
      <c r="Y30" s="125"/>
      <c r="Z30" s="125"/>
      <c r="AA30" s="125"/>
      <c r="AB30" s="125"/>
      <c r="AC30" s="125"/>
      <c r="AD30" s="125"/>
      <c r="AE30" s="125"/>
      <c r="AF30" s="125"/>
      <c r="AG30" s="125"/>
    </row>
    <row r="31" spans="1:33" ht="24.75" customHeight="1"/>
    <row r="32" spans="1:33" ht="24.75" customHeight="1">
      <c r="A32" s="132" t="s">
        <v>27</v>
      </c>
      <c r="B32" s="132"/>
    </row>
    <row r="33" spans="1:33" ht="24.75" customHeight="1">
      <c r="A33" s="126"/>
      <c r="B33" s="126"/>
      <c r="C33" s="126"/>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126"/>
      <c r="AB33" s="126"/>
      <c r="AC33" s="126"/>
      <c r="AD33" s="126"/>
      <c r="AE33" s="126"/>
      <c r="AF33" s="126"/>
      <c r="AG33" s="126"/>
    </row>
    <row r="34" spans="1:33" ht="24.75" customHeight="1">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27"/>
      <c r="AB34" s="127"/>
      <c r="AC34" s="127"/>
      <c r="AD34" s="127"/>
      <c r="AE34" s="127"/>
      <c r="AF34" s="127"/>
      <c r="AG34" s="127"/>
    </row>
    <row r="35" spans="1:33" ht="24.75" customHeight="1">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127"/>
      <c r="AB35" s="127"/>
      <c r="AC35" s="127"/>
      <c r="AD35" s="127"/>
      <c r="AE35" s="127"/>
      <c r="AF35" s="127"/>
      <c r="AG35" s="127"/>
    </row>
    <row r="36" spans="1:33" ht="24.75" customHeight="1">
      <c r="A36" s="127"/>
      <c r="B36" s="127"/>
      <c r="C36" s="127"/>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127"/>
      <c r="AB36" s="127"/>
      <c r="AC36" s="127"/>
      <c r="AD36" s="127"/>
      <c r="AE36" s="127"/>
      <c r="AF36" s="127"/>
      <c r="AG36" s="127"/>
    </row>
    <row r="37" spans="1:33" ht="24.75" customHeight="1">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row>
    <row r="38" spans="1:33" ht="24.75" customHeight="1"/>
    <row r="39" spans="1:33" ht="24.75" customHeight="1"/>
    <row r="40" spans="1:33" ht="24.75" customHeight="1"/>
    <row r="41" spans="1:33" ht="24.75" customHeight="1"/>
    <row r="42" spans="1:33" ht="24.75" customHeight="1"/>
    <row r="43" spans="1:33" ht="24.75" customHeight="1"/>
    <row r="44" spans="1:33" ht="24.75" customHeight="1"/>
    <row r="45" spans="1:33" ht="24.75" customHeight="1"/>
  </sheetData>
  <sheetProtection formatCells="0" formatColumns="0" formatRows="0" insertColumns="0" insertRows="0" insertHyperlinks="0" deleteColumns="0" deleteRows="0" sort="0" autoFilter="0" pivotTables="0"/>
  <mergeCells count="70">
    <mergeCell ref="A1:AG1"/>
    <mergeCell ref="A8:L9"/>
    <mergeCell ref="M8:N9"/>
    <mergeCell ref="U8:AG9"/>
    <mergeCell ref="S3:V3"/>
    <mergeCell ref="AA21:AF21"/>
    <mergeCell ref="Z13:AD13"/>
    <mergeCell ref="Z14:AD17"/>
    <mergeCell ref="A19:J19"/>
    <mergeCell ref="K19:N19"/>
    <mergeCell ref="O19:S19"/>
    <mergeCell ref="T19:Y19"/>
    <mergeCell ref="Z19:AG19"/>
    <mergeCell ref="B13:L13"/>
    <mergeCell ref="K20:N20"/>
    <mergeCell ref="O20:S20"/>
    <mergeCell ref="T20:Y20"/>
    <mergeCell ref="A20:J20"/>
    <mergeCell ref="K21:N21"/>
    <mergeCell ref="O21:S21"/>
    <mergeCell ref="T21:Y21"/>
    <mergeCell ref="K22:N22"/>
    <mergeCell ref="O22:S22"/>
    <mergeCell ref="T22:Y22"/>
    <mergeCell ref="K23:N23"/>
    <mergeCell ref="O23:S23"/>
    <mergeCell ref="T23:Y23"/>
    <mergeCell ref="K24:N24"/>
    <mergeCell ref="O24:S24"/>
    <mergeCell ref="T24:Y24"/>
    <mergeCell ref="K25:N25"/>
    <mergeCell ref="O25:S25"/>
    <mergeCell ref="T25:Y25"/>
    <mergeCell ref="A28:J28"/>
    <mergeCell ref="A36:AG36"/>
    <mergeCell ref="A32:B32"/>
    <mergeCell ref="K28:N28"/>
    <mergeCell ref="O28:S28"/>
    <mergeCell ref="T28:Y28"/>
    <mergeCell ref="K29:N29"/>
    <mergeCell ref="O29:S29"/>
    <mergeCell ref="T29:Y29"/>
    <mergeCell ref="A35:AG35"/>
    <mergeCell ref="K26:N26"/>
    <mergeCell ref="O26:S26"/>
    <mergeCell ref="T26:Y26"/>
    <mergeCell ref="K27:N27"/>
    <mergeCell ref="Z28:AG28"/>
    <mergeCell ref="K30:S30"/>
    <mergeCell ref="T30:AG30"/>
    <mergeCell ref="A33:AG33"/>
    <mergeCell ref="A34:AG34"/>
    <mergeCell ref="Z29:AG29"/>
    <mergeCell ref="A29:J29"/>
    <mergeCell ref="A21:J21"/>
    <mergeCell ref="A22:J22"/>
    <mergeCell ref="Z20:AG20"/>
    <mergeCell ref="A23:J23"/>
    <mergeCell ref="Z27:AG27"/>
    <mergeCell ref="A25:J25"/>
    <mergeCell ref="A26:J26"/>
    <mergeCell ref="A27:J27"/>
    <mergeCell ref="Z22:AG22"/>
    <mergeCell ref="Z23:AG23"/>
    <mergeCell ref="Z24:AG24"/>
    <mergeCell ref="Z25:AG25"/>
    <mergeCell ref="Z26:AG26"/>
    <mergeCell ref="A24:J24"/>
    <mergeCell ref="O27:S27"/>
    <mergeCell ref="T27:Y27"/>
  </mergeCells>
  <phoneticPr fontId="1"/>
  <dataValidations count="1">
    <dataValidation allowBlank="1" showErrorMessage="1" sqref="A6:L9 IW6:JH9 SS6:TD9 ACO6:ACZ9 AMK6:AMV9 AWG6:AWR9 BGC6:BGN9 BPY6:BQJ9 BZU6:CAF9 CJQ6:CKB9 CTM6:CTX9 DDI6:DDT9 DNE6:DNP9 DXA6:DXL9 EGW6:EHH9 EQS6:ERD9 FAO6:FAZ9 FKK6:FKV9 FUG6:FUR9 GEC6:GEN9 GNY6:GOJ9 GXU6:GYF9 HHQ6:HIB9 HRM6:HRX9 IBI6:IBT9 ILE6:ILP9 IVA6:IVL9 JEW6:JFH9 JOS6:JPD9 JYO6:JYZ9 KIK6:KIV9 KSG6:KSR9 LCC6:LCN9 LLY6:LMJ9 LVU6:LWF9 MFQ6:MGB9 MPM6:MPX9 MZI6:MZT9 NJE6:NJP9 NTA6:NTL9 OCW6:ODH9 OMS6:OND9 OWO6:OWZ9 PGK6:PGV9 PQG6:PQR9 QAC6:QAN9 QJY6:QKJ9 QTU6:QUF9 RDQ6:REB9 RNM6:RNX9 RXI6:RXT9 SHE6:SHP9 SRA6:SRL9 TAW6:TBH9 TKS6:TLD9 TUO6:TUZ9 UEK6:UEV9 UOG6:UOR9 UYC6:UYN9 VHY6:VIJ9 VRU6:VSF9 WBQ6:WCB9 WLM6:WLX9 WVI6:WVT9 A65542:L65545 IW65542:JH65545 SS65542:TD65545 ACO65542:ACZ65545 AMK65542:AMV65545 AWG65542:AWR65545 BGC65542:BGN65545 BPY65542:BQJ65545 BZU65542:CAF65545 CJQ65542:CKB65545 CTM65542:CTX65545 DDI65542:DDT65545 DNE65542:DNP65545 DXA65542:DXL65545 EGW65542:EHH65545 EQS65542:ERD65545 FAO65542:FAZ65545 FKK65542:FKV65545 FUG65542:FUR65545 GEC65542:GEN65545 GNY65542:GOJ65545 GXU65542:GYF65545 HHQ65542:HIB65545 HRM65542:HRX65545 IBI65542:IBT65545 ILE65542:ILP65545 IVA65542:IVL65545 JEW65542:JFH65545 JOS65542:JPD65545 JYO65542:JYZ65545 KIK65542:KIV65545 KSG65542:KSR65545 LCC65542:LCN65545 LLY65542:LMJ65545 LVU65542:LWF65545 MFQ65542:MGB65545 MPM65542:MPX65545 MZI65542:MZT65545 NJE65542:NJP65545 NTA65542:NTL65545 OCW65542:ODH65545 OMS65542:OND65545 OWO65542:OWZ65545 PGK65542:PGV65545 PQG65542:PQR65545 QAC65542:QAN65545 QJY65542:QKJ65545 QTU65542:QUF65545 RDQ65542:REB65545 RNM65542:RNX65545 RXI65542:RXT65545 SHE65542:SHP65545 SRA65542:SRL65545 TAW65542:TBH65545 TKS65542:TLD65545 TUO65542:TUZ65545 UEK65542:UEV65545 UOG65542:UOR65545 UYC65542:UYN65545 VHY65542:VIJ65545 VRU65542:VSF65545 WBQ65542:WCB65545 WLM65542:WLX65545 WVI65542:WVT65545 A131078:L131081 IW131078:JH131081 SS131078:TD131081 ACO131078:ACZ131081 AMK131078:AMV131081 AWG131078:AWR131081 BGC131078:BGN131081 BPY131078:BQJ131081 BZU131078:CAF131081 CJQ131078:CKB131081 CTM131078:CTX131081 DDI131078:DDT131081 DNE131078:DNP131081 DXA131078:DXL131081 EGW131078:EHH131081 EQS131078:ERD131081 FAO131078:FAZ131081 FKK131078:FKV131081 FUG131078:FUR131081 GEC131078:GEN131081 GNY131078:GOJ131081 GXU131078:GYF131081 HHQ131078:HIB131081 HRM131078:HRX131081 IBI131078:IBT131081 ILE131078:ILP131081 IVA131078:IVL131081 JEW131078:JFH131081 JOS131078:JPD131081 JYO131078:JYZ131081 KIK131078:KIV131081 KSG131078:KSR131081 LCC131078:LCN131081 LLY131078:LMJ131081 LVU131078:LWF131081 MFQ131078:MGB131081 MPM131078:MPX131081 MZI131078:MZT131081 NJE131078:NJP131081 NTA131078:NTL131081 OCW131078:ODH131081 OMS131078:OND131081 OWO131078:OWZ131081 PGK131078:PGV131081 PQG131078:PQR131081 QAC131078:QAN131081 QJY131078:QKJ131081 QTU131078:QUF131081 RDQ131078:REB131081 RNM131078:RNX131081 RXI131078:RXT131081 SHE131078:SHP131081 SRA131078:SRL131081 TAW131078:TBH131081 TKS131078:TLD131081 TUO131078:TUZ131081 UEK131078:UEV131081 UOG131078:UOR131081 UYC131078:UYN131081 VHY131078:VIJ131081 VRU131078:VSF131081 WBQ131078:WCB131081 WLM131078:WLX131081 WVI131078:WVT131081 A196614:L196617 IW196614:JH196617 SS196614:TD196617 ACO196614:ACZ196617 AMK196614:AMV196617 AWG196614:AWR196617 BGC196614:BGN196617 BPY196614:BQJ196617 BZU196614:CAF196617 CJQ196614:CKB196617 CTM196614:CTX196617 DDI196614:DDT196617 DNE196614:DNP196617 DXA196614:DXL196617 EGW196614:EHH196617 EQS196614:ERD196617 FAO196614:FAZ196617 FKK196614:FKV196617 FUG196614:FUR196617 GEC196614:GEN196617 GNY196614:GOJ196617 GXU196614:GYF196617 HHQ196614:HIB196617 HRM196614:HRX196617 IBI196614:IBT196617 ILE196614:ILP196617 IVA196614:IVL196617 JEW196614:JFH196617 JOS196614:JPD196617 JYO196614:JYZ196617 KIK196614:KIV196617 KSG196614:KSR196617 LCC196614:LCN196617 LLY196614:LMJ196617 LVU196614:LWF196617 MFQ196614:MGB196617 MPM196614:MPX196617 MZI196614:MZT196617 NJE196614:NJP196617 NTA196614:NTL196617 OCW196614:ODH196617 OMS196614:OND196617 OWO196614:OWZ196617 PGK196614:PGV196617 PQG196614:PQR196617 QAC196614:QAN196617 QJY196614:QKJ196617 QTU196614:QUF196617 RDQ196614:REB196617 RNM196614:RNX196617 RXI196614:RXT196617 SHE196614:SHP196617 SRA196614:SRL196617 TAW196614:TBH196617 TKS196614:TLD196617 TUO196614:TUZ196617 UEK196614:UEV196617 UOG196614:UOR196617 UYC196614:UYN196617 VHY196614:VIJ196617 VRU196614:VSF196617 WBQ196614:WCB196617 WLM196614:WLX196617 WVI196614:WVT196617 A262150:L262153 IW262150:JH262153 SS262150:TD262153 ACO262150:ACZ262153 AMK262150:AMV262153 AWG262150:AWR262153 BGC262150:BGN262153 BPY262150:BQJ262153 BZU262150:CAF262153 CJQ262150:CKB262153 CTM262150:CTX262153 DDI262150:DDT262153 DNE262150:DNP262153 DXA262150:DXL262153 EGW262150:EHH262153 EQS262150:ERD262153 FAO262150:FAZ262153 FKK262150:FKV262153 FUG262150:FUR262153 GEC262150:GEN262153 GNY262150:GOJ262153 GXU262150:GYF262153 HHQ262150:HIB262153 HRM262150:HRX262153 IBI262150:IBT262153 ILE262150:ILP262153 IVA262150:IVL262153 JEW262150:JFH262153 JOS262150:JPD262153 JYO262150:JYZ262153 KIK262150:KIV262153 KSG262150:KSR262153 LCC262150:LCN262153 LLY262150:LMJ262153 LVU262150:LWF262153 MFQ262150:MGB262153 MPM262150:MPX262153 MZI262150:MZT262153 NJE262150:NJP262153 NTA262150:NTL262153 OCW262150:ODH262153 OMS262150:OND262153 OWO262150:OWZ262153 PGK262150:PGV262153 PQG262150:PQR262153 QAC262150:QAN262153 QJY262150:QKJ262153 QTU262150:QUF262153 RDQ262150:REB262153 RNM262150:RNX262153 RXI262150:RXT262153 SHE262150:SHP262153 SRA262150:SRL262153 TAW262150:TBH262153 TKS262150:TLD262153 TUO262150:TUZ262153 UEK262150:UEV262153 UOG262150:UOR262153 UYC262150:UYN262153 VHY262150:VIJ262153 VRU262150:VSF262153 WBQ262150:WCB262153 WLM262150:WLX262153 WVI262150:WVT262153 A327686:L327689 IW327686:JH327689 SS327686:TD327689 ACO327686:ACZ327689 AMK327686:AMV327689 AWG327686:AWR327689 BGC327686:BGN327689 BPY327686:BQJ327689 BZU327686:CAF327689 CJQ327686:CKB327689 CTM327686:CTX327689 DDI327686:DDT327689 DNE327686:DNP327689 DXA327686:DXL327689 EGW327686:EHH327689 EQS327686:ERD327689 FAO327686:FAZ327689 FKK327686:FKV327689 FUG327686:FUR327689 GEC327686:GEN327689 GNY327686:GOJ327689 GXU327686:GYF327689 HHQ327686:HIB327689 HRM327686:HRX327689 IBI327686:IBT327689 ILE327686:ILP327689 IVA327686:IVL327689 JEW327686:JFH327689 JOS327686:JPD327689 JYO327686:JYZ327689 KIK327686:KIV327689 KSG327686:KSR327689 LCC327686:LCN327689 LLY327686:LMJ327689 LVU327686:LWF327689 MFQ327686:MGB327689 MPM327686:MPX327689 MZI327686:MZT327689 NJE327686:NJP327689 NTA327686:NTL327689 OCW327686:ODH327689 OMS327686:OND327689 OWO327686:OWZ327689 PGK327686:PGV327689 PQG327686:PQR327689 QAC327686:QAN327689 QJY327686:QKJ327689 QTU327686:QUF327689 RDQ327686:REB327689 RNM327686:RNX327689 RXI327686:RXT327689 SHE327686:SHP327689 SRA327686:SRL327689 TAW327686:TBH327689 TKS327686:TLD327689 TUO327686:TUZ327689 UEK327686:UEV327689 UOG327686:UOR327689 UYC327686:UYN327689 VHY327686:VIJ327689 VRU327686:VSF327689 WBQ327686:WCB327689 WLM327686:WLX327689 WVI327686:WVT327689 A393222:L393225 IW393222:JH393225 SS393222:TD393225 ACO393222:ACZ393225 AMK393222:AMV393225 AWG393222:AWR393225 BGC393222:BGN393225 BPY393222:BQJ393225 BZU393222:CAF393225 CJQ393222:CKB393225 CTM393222:CTX393225 DDI393222:DDT393225 DNE393222:DNP393225 DXA393222:DXL393225 EGW393222:EHH393225 EQS393222:ERD393225 FAO393222:FAZ393225 FKK393222:FKV393225 FUG393222:FUR393225 GEC393222:GEN393225 GNY393222:GOJ393225 GXU393222:GYF393225 HHQ393222:HIB393225 HRM393222:HRX393225 IBI393222:IBT393225 ILE393222:ILP393225 IVA393222:IVL393225 JEW393222:JFH393225 JOS393222:JPD393225 JYO393222:JYZ393225 KIK393222:KIV393225 KSG393222:KSR393225 LCC393222:LCN393225 LLY393222:LMJ393225 LVU393222:LWF393225 MFQ393222:MGB393225 MPM393222:MPX393225 MZI393222:MZT393225 NJE393222:NJP393225 NTA393222:NTL393225 OCW393222:ODH393225 OMS393222:OND393225 OWO393222:OWZ393225 PGK393222:PGV393225 PQG393222:PQR393225 QAC393222:QAN393225 QJY393222:QKJ393225 QTU393222:QUF393225 RDQ393222:REB393225 RNM393222:RNX393225 RXI393222:RXT393225 SHE393222:SHP393225 SRA393222:SRL393225 TAW393222:TBH393225 TKS393222:TLD393225 TUO393222:TUZ393225 UEK393222:UEV393225 UOG393222:UOR393225 UYC393222:UYN393225 VHY393222:VIJ393225 VRU393222:VSF393225 WBQ393222:WCB393225 WLM393222:WLX393225 WVI393222:WVT393225 A458758:L458761 IW458758:JH458761 SS458758:TD458761 ACO458758:ACZ458761 AMK458758:AMV458761 AWG458758:AWR458761 BGC458758:BGN458761 BPY458758:BQJ458761 BZU458758:CAF458761 CJQ458758:CKB458761 CTM458758:CTX458761 DDI458758:DDT458761 DNE458758:DNP458761 DXA458758:DXL458761 EGW458758:EHH458761 EQS458758:ERD458761 FAO458758:FAZ458761 FKK458758:FKV458761 FUG458758:FUR458761 GEC458758:GEN458761 GNY458758:GOJ458761 GXU458758:GYF458761 HHQ458758:HIB458761 HRM458758:HRX458761 IBI458758:IBT458761 ILE458758:ILP458761 IVA458758:IVL458761 JEW458758:JFH458761 JOS458758:JPD458761 JYO458758:JYZ458761 KIK458758:KIV458761 KSG458758:KSR458761 LCC458758:LCN458761 LLY458758:LMJ458761 LVU458758:LWF458761 MFQ458758:MGB458761 MPM458758:MPX458761 MZI458758:MZT458761 NJE458758:NJP458761 NTA458758:NTL458761 OCW458758:ODH458761 OMS458758:OND458761 OWO458758:OWZ458761 PGK458758:PGV458761 PQG458758:PQR458761 QAC458758:QAN458761 QJY458758:QKJ458761 QTU458758:QUF458761 RDQ458758:REB458761 RNM458758:RNX458761 RXI458758:RXT458761 SHE458758:SHP458761 SRA458758:SRL458761 TAW458758:TBH458761 TKS458758:TLD458761 TUO458758:TUZ458761 UEK458758:UEV458761 UOG458758:UOR458761 UYC458758:UYN458761 VHY458758:VIJ458761 VRU458758:VSF458761 WBQ458758:WCB458761 WLM458758:WLX458761 WVI458758:WVT458761 A524294:L524297 IW524294:JH524297 SS524294:TD524297 ACO524294:ACZ524297 AMK524294:AMV524297 AWG524294:AWR524297 BGC524294:BGN524297 BPY524294:BQJ524297 BZU524294:CAF524297 CJQ524294:CKB524297 CTM524294:CTX524297 DDI524294:DDT524297 DNE524294:DNP524297 DXA524294:DXL524297 EGW524294:EHH524297 EQS524294:ERD524297 FAO524294:FAZ524297 FKK524294:FKV524297 FUG524294:FUR524297 GEC524294:GEN524297 GNY524294:GOJ524297 GXU524294:GYF524297 HHQ524294:HIB524297 HRM524294:HRX524297 IBI524294:IBT524297 ILE524294:ILP524297 IVA524294:IVL524297 JEW524294:JFH524297 JOS524294:JPD524297 JYO524294:JYZ524297 KIK524294:KIV524297 KSG524294:KSR524297 LCC524294:LCN524297 LLY524294:LMJ524297 LVU524294:LWF524297 MFQ524294:MGB524297 MPM524294:MPX524297 MZI524294:MZT524297 NJE524294:NJP524297 NTA524294:NTL524297 OCW524294:ODH524297 OMS524294:OND524297 OWO524294:OWZ524297 PGK524294:PGV524297 PQG524294:PQR524297 QAC524294:QAN524297 QJY524294:QKJ524297 QTU524294:QUF524297 RDQ524294:REB524297 RNM524294:RNX524297 RXI524294:RXT524297 SHE524294:SHP524297 SRA524294:SRL524297 TAW524294:TBH524297 TKS524294:TLD524297 TUO524294:TUZ524297 UEK524294:UEV524297 UOG524294:UOR524297 UYC524294:UYN524297 VHY524294:VIJ524297 VRU524294:VSF524297 WBQ524294:WCB524297 WLM524294:WLX524297 WVI524294:WVT524297 A589830:L589833 IW589830:JH589833 SS589830:TD589833 ACO589830:ACZ589833 AMK589830:AMV589833 AWG589830:AWR589833 BGC589830:BGN589833 BPY589830:BQJ589833 BZU589830:CAF589833 CJQ589830:CKB589833 CTM589830:CTX589833 DDI589830:DDT589833 DNE589830:DNP589833 DXA589830:DXL589833 EGW589830:EHH589833 EQS589830:ERD589833 FAO589830:FAZ589833 FKK589830:FKV589833 FUG589830:FUR589833 GEC589830:GEN589833 GNY589830:GOJ589833 GXU589830:GYF589833 HHQ589830:HIB589833 HRM589830:HRX589833 IBI589830:IBT589833 ILE589830:ILP589833 IVA589830:IVL589833 JEW589830:JFH589833 JOS589830:JPD589833 JYO589830:JYZ589833 KIK589830:KIV589833 KSG589830:KSR589833 LCC589830:LCN589833 LLY589830:LMJ589833 LVU589830:LWF589833 MFQ589830:MGB589833 MPM589830:MPX589833 MZI589830:MZT589833 NJE589830:NJP589833 NTA589830:NTL589833 OCW589830:ODH589833 OMS589830:OND589833 OWO589830:OWZ589833 PGK589830:PGV589833 PQG589830:PQR589833 QAC589830:QAN589833 QJY589830:QKJ589833 QTU589830:QUF589833 RDQ589830:REB589833 RNM589830:RNX589833 RXI589830:RXT589833 SHE589830:SHP589833 SRA589830:SRL589833 TAW589830:TBH589833 TKS589830:TLD589833 TUO589830:TUZ589833 UEK589830:UEV589833 UOG589830:UOR589833 UYC589830:UYN589833 VHY589830:VIJ589833 VRU589830:VSF589833 WBQ589830:WCB589833 WLM589830:WLX589833 WVI589830:WVT589833 A655366:L655369 IW655366:JH655369 SS655366:TD655369 ACO655366:ACZ655369 AMK655366:AMV655369 AWG655366:AWR655369 BGC655366:BGN655369 BPY655366:BQJ655369 BZU655366:CAF655369 CJQ655366:CKB655369 CTM655366:CTX655369 DDI655366:DDT655369 DNE655366:DNP655369 DXA655366:DXL655369 EGW655366:EHH655369 EQS655366:ERD655369 FAO655366:FAZ655369 FKK655366:FKV655369 FUG655366:FUR655369 GEC655366:GEN655369 GNY655366:GOJ655369 GXU655366:GYF655369 HHQ655366:HIB655369 HRM655366:HRX655369 IBI655366:IBT655369 ILE655366:ILP655369 IVA655366:IVL655369 JEW655366:JFH655369 JOS655366:JPD655369 JYO655366:JYZ655369 KIK655366:KIV655369 KSG655366:KSR655369 LCC655366:LCN655369 LLY655366:LMJ655369 LVU655366:LWF655369 MFQ655366:MGB655369 MPM655366:MPX655369 MZI655366:MZT655369 NJE655366:NJP655369 NTA655366:NTL655369 OCW655366:ODH655369 OMS655366:OND655369 OWO655366:OWZ655369 PGK655366:PGV655369 PQG655366:PQR655369 QAC655366:QAN655369 QJY655366:QKJ655369 QTU655366:QUF655369 RDQ655366:REB655369 RNM655366:RNX655369 RXI655366:RXT655369 SHE655366:SHP655369 SRA655366:SRL655369 TAW655366:TBH655369 TKS655366:TLD655369 TUO655366:TUZ655369 UEK655366:UEV655369 UOG655366:UOR655369 UYC655366:UYN655369 VHY655366:VIJ655369 VRU655366:VSF655369 WBQ655366:WCB655369 WLM655366:WLX655369 WVI655366:WVT655369 A720902:L720905 IW720902:JH720905 SS720902:TD720905 ACO720902:ACZ720905 AMK720902:AMV720905 AWG720902:AWR720905 BGC720902:BGN720905 BPY720902:BQJ720905 BZU720902:CAF720905 CJQ720902:CKB720905 CTM720902:CTX720905 DDI720902:DDT720905 DNE720902:DNP720905 DXA720902:DXL720905 EGW720902:EHH720905 EQS720902:ERD720905 FAO720902:FAZ720905 FKK720902:FKV720905 FUG720902:FUR720905 GEC720902:GEN720905 GNY720902:GOJ720905 GXU720902:GYF720905 HHQ720902:HIB720905 HRM720902:HRX720905 IBI720902:IBT720905 ILE720902:ILP720905 IVA720902:IVL720905 JEW720902:JFH720905 JOS720902:JPD720905 JYO720902:JYZ720905 KIK720902:KIV720905 KSG720902:KSR720905 LCC720902:LCN720905 LLY720902:LMJ720905 LVU720902:LWF720905 MFQ720902:MGB720905 MPM720902:MPX720905 MZI720902:MZT720905 NJE720902:NJP720905 NTA720902:NTL720905 OCW720902:ODH720905 OMS720902:OND720905 OWO720902:OWZ720905 PGK720902:PGV720905 PQG720902:PQR720905 QAC720902:QAN720905 QJY720902:QKJ720905 QTU720902:QUF720905 RDQ720902:REB720905 RNM720902:RNX720905 RXI720902:RXT720905 SHE720902:SHP720905 SRA720902:SRL720905 TAW720902:TBH720905 TKS720902:TLD720905 TUO720902:TUZ720905 UEK720902:UEV720905 UOG720902:UOR720905 UYC720902:UYN720905 VHY720902:VIJ720905 VRU720902:VSF720905 WBQ720902:WCB720905 WLM720902:WLX720905 WVI720902:WVT720905 A786438:L786441 IW786438:JH786441 SS786438:TD786441 ACO786438:ACZ786441 AMK786438:AMV786441 AWG786438:AWR786441 BGC786438:BGN786441 BPY786438:BQJ786441 BZU786438:CAF786441 CJQ786438:CKB786441 CTM786438:CTX786441 DDI786438:DDT786441 DNE786438:DNP786441 DXA786438:DXL786441 EGW786438:EHH786441 EQS786438:ERD786441 FAO786438:FAZ786441 FKK786438:FKV786441 FUG786438:FUR786441 GEC786438:GEN786441 GNY786438:GOJ786441 GXU786438:GYF786441 HHQ786438:HIB786441 HRM786438:HRX786441 IBI786438:IBT786441 ILE786438:ILP786441 IVA786438:IVL786441 JEW786438:JFH786441 JOS786438:JPD786441 JYO786438:JYZ786441 KIK786438:KIV786441 KSG786438:KSR786441 LCC786438:LCN786441 LLY786438:LMJ786441 LVU786438:LWF786441 MFQ786438:MGB786441 MPM786438:MPX786441 MZI786438:MZT786441 NJE786438:NJP786441 NTA786438:NTL786441 OCW786438:ODH786441 OMS786438:OND786441 OWO786438:OWZ786441 PGK786438:PGV786441 PQG786438:PQR786441 QAC786438:QAN786441 QJY786438:QKJ786441 QTU786438:QUF786441 RDQ786438:REB786441 RNM786438:RNX786441 RXI786438:RXT786441 SHE786438:SHP786441 SRA786438:SRL786441 TAW786438:TBH786441 TKS786438:TLD786441 TUO786438:TUZ786441 UEK786438:UEV786441 UOG786438:UOR786441 UYC786438:UYN786441 VHY786438:VIJ786441 VRU786438:VSF786441 WBQ786438:WCB786441 WLM786438:WLX786441 WVI786438:WVT786441 A851974:L851977 IW851974:JH851977 SS851974:TD851977 ACO851974:ACZ851977 AMK851974:AMV851977 AWG851974:AWR851977 BGC851974:BGN851977 BPY851974:BQJ851977 BZU851974:CAF851977 CJQ851974:CKB851977 CTM851974:CTX851977 DDI851974:DDT851977 DNE851974:DNP851977 DXA851974:DXL851977 EGW851974:EHH851977 EQS851974:ERD851977 FAO851974:FAZ851977 FKK851974:FKV851977 FUG851974:FUR851977 GEC851974:GEN851977 GNY851974:GOJ851977 GXU851974:GYF851977 HHQ851974:HIB851977 HRM851974:HRX851977 IBI851974:IBT851977 ILE851974:ILP851977 IVA851974:IVL851977 JEW851974:JFH851977 JOS851974:JPD851977 JYO851974:JYZ851977 KIK851974:KIV851977 KSG851974:KSR851977 LCC851974:LCN851977 LLY851974:LMJ851977 LVU851974:LWF851977 MFQ851974:MGB851977 MPM851974:MPX851977 MZI851974:MZT851977 NJE851974:NJP851977 NTA851974:NTL851977 OCW851974:ODH851977 OMS851974:OND851977 OWO851974:OWZ851977 PGK851974:PGV851977 PQG851974:PQR851977 QAC851974:QAN851977 QJY851974:QKJ851977 QTU851974:QUF851977 RDQ851974:REB851977 RNM851974:RNX851977 RXI851974:RXT851977 SHE851974:SHP851977 SRA851974:SRL851977 TAW851974:TBH851977 TKS851974:TLD851977 TUO851974:TUZ851977 UEK851974:UEV851977 UOG851974:UOR851977 UYC851974:UYN851977 VHY851974:VIJ851977 VRU851974:VSF851977 WBQ851974:WCB851977 WLM851974:WLX851977 WVI851974:WVT851977 A917510:L917513 IW917510:JH917513 SS917510:TD917513 ACO917510:ACZ917513 AMK917510:AMV917513 AWG917510:AWR917513 BGC917510:BGN917513 BPY917510:BQJ917513 BZU917510:CAF917513 CJQ917510:CKB917513 CTM917510:CTX917513 DDI917510:DDT917513 DNE917510:DNP917513 DXA917510:DXL917513 EGW917510:EHH917513 EQS917510:ERD917513 FAO917510:FAZ917513 FKK917510:FKV917513 FUG917510:FUR917513 GEC917510:GEN917513 GNY917510:GOJ917513 GXU917510:GYF917513 HHQ917510:HIB917513 HRM917510:HRX917513 IBI917510:IBT917513 ILE917510:ILP917513 IVA917510:IVL917513 JEW917510:JFH917513 JOS917510:JPD917513 JYO917510:JYZ917513 KIK917510:KIV917513 KSG917510:KSR917513 LCC917510:LCN917513 LLY917510:LMJ917513 LVU917510:LWF917513 MFQ917510:MGB917513 MPM917510:MPX917513 MZI917510:MZT917513 NJE917510:NJP917513 NTA917510:NTL917513 OCW917510:ODH917513 OMS917510:OND917513 OWO917510:OWZ917513 PGK917510:PGV917513 PQG917510:PQR917513 QAC917510:QAN917513 QJY917510:QKJ917513 QTU917510:QUF917513 RDQ917510:REB917513 RNM917510:RNX917513 RXI917510:RXT917513 SHE917510:SHP917513 SRA917510:SRL917513 TAW917510:TBH917513 TKS917510:TLD917513 TUO917510:TUZ917513 UEK917510:UEV917513 UOG917510:UOR917513 UYC917510:UYN917513 VHY917510:VIJ917513 VRU917510:VSF917513 WBQ917510:WCB917513 WLM917510:WLX917513 WVI917510:WVT917513 A983046:L983049 IW983046:JH983049 SS983046:TD983049 ACO983046:ACZ983049 AMK983046:AMV983049 AWG983046:AWR983049 BGC983046:BGN983049 BPY983046:BQJ983049 BZU983046:CAF983049 CJQ983046:CKB983049 CTM983046:CTX983049 DDI983046:DDT983049 DNE983046:DNP983049 DXA983046:DXL983049 EGW983046:EHH983049 EQS983046:ERD983049 FAO983046:FAZ983049 FKK983046:FKV983049 FUG983046:FUR983049 GEC983046:GEN983049 GNY983046:GOJ983049 GXU983046:GYF983049 HHQ983046:HIB983049 HRM983046:HRX983049 IBI983046:IBT983049 ILE983046:ILP983049 IVA983046:IVL983049 JEW983046:JFH983049 JOS983046:JPD983049 JYO983046:JYZ983049 KIK983046:KIV983049 KSG983046:KSR983049 LCC983046:LCN983049 LLY983046:LMJ983049 LVU983046:LWF983049 MFQ983046:MGB983049 MPM983046:MPX983049 MZI983046:MZT983049 NJE983046:NJP983049 NTA983046:NTL983049 OCW983046:ODH983049 OMS983046:OND983049 OWO983046:OWZ983049 PGK983046:PGV983049 PQG983046:PQR983049 QAC983046:QAN983049 QJY983046:QKJ983049 QTU983046:QUF983049 RDQ983046:REB983049 RNM983046:RNX983049 RXI983046:RXT983049 SHE983046:SHP983049 SRA983046:SRL983049 TAW983046:TBH983049 TKS983046:TLD983049 TUO983046:TUZ983049 UEK983046:UEV983049 UOG983046:UOR983049 UYC983046:UYN983049 VHY983046:VIJ983049 VRU983046:VSF983049 WBQ983046:WCB983049 WLM983046:WLX983049 WVI983046:WVT983049 U6:AG9 JQ6:KC9 TM6:TY9 ADI6:ADU9 ANE6:ANQ9 AXA6:AXM9 BGW6:BHI9 BQS6:BRE9 CAO6:CBA9 CKK6:CKW9 CUG6:CUS9 DEC6:DEO9 DNY6:DOK9 DXU6:DYG9 EHQ6:EIC9 ERM6:ERY9 FBI6:FBU9 FLE6:FLQ9 FVA6:FVM9 GEW6:GFI9 GOS6:GPE9 GYO6:GZA9 HIK6:HIW9 HSG6:HSS9 ICC6:ICO9 ILY6:IMK9 IVU6:IWG9 JFQ6:JGC9 JPM6:JPY9 JZI6:JZU9 KJE6:KJQ9 KTA6:KTM9 LCW6:LDI9 LMS6:LNE9 LWO6:LXA9 MGK6:MGW9 MQG6:MQS9 NAC6:NAO9 NJY6:NKK9 NTU6:NUG9 ODQ6:OEC9 ONM6:ONY9 OXI6:OXU9 PHE6:PHQ9 PRA6:PRM9 QAW6:QBI9 QKS6:QLE9 QUO6:QVA9 REK6:REW9 ROG6:ROS9 RYC6:RYO9 SHY6:SIK9 SRU6:SSG9 TBQ6:TCC9 TLM6:TLY9 TVI6:TVU9 UFE6:UFQ9 UPA6:UPM9 UYW6:UZI9 VIS6:VJE9 VSO6:VTA9 WCK6:WCW9 WMG6:WMS9 WWC6:WWO9 U65542:AG65545 JQ65542:KC65545 TM65542:TY65545 ADI65542:ADU65545 ANE65542:ANQ65545 AXA65542:AXM65545 BGW65542:BHI65545 BQS65542:BRE65545 CAO65542:CBA65545 CKK65542:CKW65545 CUG65542:CUS65545 DEC65542:DEO65545 DNY65542:DOK65545 DXU65542:DYG65545 EHQ65542:EIC65545 ERM65542:ERY65545 FBI65542:FBU65545 FLE65542:FLQ65545 FVA65542:FVM65545 GEW65542:GFI65545 GOS65542:GPE65545 GYO65542:GZA65545 HIK65542:HIW65545 HSG65542:HSS65545 ICC65542:ICO65545 ILY65542:IMK65545 IVU65542:IWG65545 JFQ65542:JGC65545 JPM65542:JPY65545 JZI65542:JZU65545 KJE65542:KJQ65545 KTA65542:KTM65545 LCW65542:LDI65545 LMS65542:LNE65545 LWO65542:LXA65545 MGK65542:MGW65545 MQG65542:MQS65545 NAC65542:NAO65545 NJY65542:NKK65545 NTU65542:NUG65545 ODQ65542:OEC65545 ONM65542:ONY65545 OXI65542:OXU65545 PHE65542:PHQ65545 PRA65542:PRM65545 QAW65542:QBI65545 QKS65542:QLE65545 QUO65542:QVA65545 REK65542:REW65545 ROG65542:ROS65545 RYC65542:RYO65545 SHY65542:SIK65545 SRU65542:SSG65545 TBQ65542:TCC65545 TLM65542:TLY65545 TVI65542:TVU65545 UFE65542:UFQ65545 UPA65542:UPM65545 UYW65542:UZI65545 VIS65542:VJE65545 VSO65542:VTA65545 WCK65542:WCW65545 WMG65542:WMS65545 WWC65542:WWO65545 U131078:AG131081 JQ131078:KC131081 TM131078:TY131081 ADI131078:ADU131081 ANE131078:ANQ131081 AXA131078:AXM131081 BGW131078:BHI131081 BQS131078:BRE131081 CAO131078:CBA131081 CKK131078:CKW131081 CUG131078:CUS131081 DEC131078:DEO131081 DNY131078:DOK131081 DXU131078:DYG131081 EHQ131078:EIC131081 ERM131078:ERY131081 FBI131078:FBU131081 FLE131078:FLQ131081 FVA131078:FVM131081 GEW131078:GFI131081 GOS131078:GPE131081 GYO131078:GZA131081 HIK131078:HIW131081 HSG131078:HSS131081 ICC131078:ICO131081 ILY131078:IMK131081 IVU131078:IWG131081 JFQ131078:JGC131081 JPM131078:JPY131081 JZI131078:JZU131081 KJE131078:KJQ131081 KTA131078:KTM131081 LCW131078:LDI131081 LMS131078:LNE131081 LWO131078:LXA131081 MGK131078:MGW131081 MQG131078:MQS131081 NAC131078:NAO131081 NJY131078:NKK131081 NTU131078:NUG131081 ODQ131078:OEC131081 ONM131078:ONY131081 OXI131078:OXU131081 PHE131078:PHQ131081 PRA131078:PRM131081 QAW131078:QBI131081 QKS131078:QLE131081 QUO131078:QVA131081 REK131078:REW131081 ROG131078:ROS131081 RYC131078:RYO131081 SHY131078:SIK131081 SRU131078:SSG131081 TBQ131078:TCC131081 TLM131078:TLY131081 TVI131078:TVU131081 UFE131078:UFQ131081 UPA131078:UPM131081 UYW131078:UZI131081 VIS131078:VJE131081 VSO131078:VTA131081 WCK131078:WCW131081 WMG131078:WMS131081 WWC131078:WWO131081 U196614:AG196617 JQ196614:KC196617 TM196614:TY196617 ADI196614:ADU196617 ANE196614:ANQ196617 AXA196614:AXM196617 BGW196614:BHI196617 BQS196614:BRE196617 CAO196614:CBA196617 CKK196614:CKW196617 CUG196614:CUS196617 DEC196614:DEO196617 DNY196614:DOK196617 DXU196614:DYG196617 EHQ196614:EIC196617 ERM196614:ERY196617 FBI196614:FBU196617 FLE196614:FLQ196617 FVA196614:FVM196617 GEW196614:GFI196617 GOS196614:GPE196617 GYO196614:GZA196617 HIK196614:HIW196617 HSG196614:HSS196617 ICC196614:ICO196617 ILY196614:IMK196617 IVU196614:IWG196617 JFQ196614:JGC196617 JPM196614:JPY196617 JZI196614:JZU196617 KJE196614:KJQ196617 KTA196614:KTM196617 LCW196614:LDI196617 LMS196614:LNE196617 LWO196614:LXA196617 MGK196614:MGW196617 MQG196614:MQS196617 NAC196614:NAO196617 NJY196614:NKK196617 NTU196614:NUG196617 ODQ196614:OEC196617 ONM196614:ONY196617 OXI196614:OXU196617 PHE196614:PHQ196617 PRA196614:PRM196617 QAW196614:QBI196617 QKS196614:QLE196617 QUO196614:QVA196617 REK196614:REW196617 ROG196614:ROS196617 RYC196614:RYO196617 SHY196614:SIK196617 SRU196614:SSG196617 TBQ196614:TCC196617 TLM196614:TLY196617 TVI196614:TVU196617 UFE196614:UFQ196617 UPA196614:UPM196617 UYW196614:UZI196617 VIS196614:VJE196617 VSO196614:VTA196617 WCK196614:WCW196617 WMG196614:WMS196617 WWC196614:WWO196617 U262150:AG262153 JQ262150:KC262153 TM262150:TY262153 ADI262150:ADU262153 ANE262150:ANQ262153 AXA262150:AXM262153 BGW262150:BHI262153 BQS262150:BRE262153 CAO262150:CBA262153 CKK262150:CKW262153 CUG262150:CUS262153 DEC262150:DEO262153 DNY262150:DOK262153 DXU262150:DYG262153 EHQ262150:EIC262153 ERM262150:ERY262153 FBI262150:FBU262153 FLE262150:FLQ262153 FVA262150:FVM262153 GEW262150:GFI262153 GOS262150:GPE262153 GYO262150:GZA262153 HIK262150:HIW262153 HSG262150:HSS262153 ICC262150:ICO262153 ILY262150:IMK262153 IVU262150:IWG262153 JFQ262150:JGC262153 JPM262150:JPY262153 JZI262150:JZU262153 KJE262150:KJQ262153 KTA262150:KTM262153 LCW262150:LDI262153 LMS262150:LNE262153 LWO262150:LXA262153 MGK262150:MGW262153 MQG262150:MQS262153 NAC262150:NAO262153 NJY262150:NKK262153 NTU262150:NUG262153 ODQ262150:OEC262153 ONM262150:ONY262153 OXI262150:OXU262153 PHE262150:PHQ262153 PRA262150:PRM262153 QAW262150:QBI262153 QKS262150:QLE262153 QUO262150:QVA262153 REK262150:REW262153 ROG262150:ROS262153 RYC262150:RYO262153 SHY262150:SIK262153 SRU262150:SSG262153 TBQ262150:TCC262153 TLM262150:TLY262153 TVI262150:TVU262153 UFE262150:UFQ262153 UPA262150:UPM262153 UYW262150:UZI262153 VIS262150:VJE262153 VSO262150:VTA262153 WCK262150:WCW262153 WMG262150:WMS262153 WWC262150:WWO262153 U327686:AG327689 JQ327686:KC327689 TM327686:TY327689 ADI327686:ADU327689 ANE327686:ANQ327689 AXA327686:AXM327689 BGW327686:BHI327689 BQS327686:BRE327689 CAO327686:CBA327689 CKK327686:CKW327689 CUG327686:CUS327689 DEC327686:DEO327689 DNY327686:DOK327689 DXU327686:DYG327689 EHQ327686:EIC327689 ERM327686:ERY327689 FBI327686:FBU327689 FLE327686:FLQ327689 FVA327686:FVM327689 GEW327686:GFI327689 GOS327686:GPE327689 GYO327686:GZA327689 HIK327686:HIW327689 HSG327686:HSS327689 ICC327686:ICO327689 ILY327686:IMK327689 IVU327686:IWG327689 JFQ327686:JGC327689 JPM327686:JPY327689 JZI327686:JZU327689 KJE327686:KJQ327689 KTA327686:KTM327689 LCW327686:LDI327689 LMS327686:LNE327689 LWO327686:LXA327689 MGK327686:MGW327689 MQG327686:MQS327689 NAC327686:NAO327689 NJY327686:NKK327689 NTU327686:NUG327689 ODQ327686:OEC327689 ONM327686:ONY327689 OXI327686:OXU327689 PHE327686:PHQ327689 PRA327686:PRM327689 QAW327686:QBI327689 QKS327686:QLE327689 QUO327686:QVA327689 REK327686:REW327689 ROG327686:ROS327689 RYC327686:RYO327689 SHY327686:SIK327689 SRU327686:SSG327689 TBQ327686:TCC327689 TLM327686:TLY327689 TVI327686:TVU327689 UFE327686:UFQ327689 UPA327686:UPM327689 UYW327686:UZI327689 VIS327686:VJE327689 VSO327686:VTA327689 WCK327686:WCW327689 WMG327686:WMS327689 WWC327686:WWO327689 U393222:AG393225 JQ393222:KC393225 TM393222:TY393225 ADI393222:ADU393225 ANE393222:ANQ393225 AXA393222:AXM393225 BGW393222:BHI393225 BQS393222:BRE393225 CAO393222:CBA393225 CKK393222:CKW393225 CUG393222:CUS393225 DEC393222:DEO393225 DNY393222:DOK393225 DXU393222:DYG393225 EHQ393222:EIC393225 ERM393222:ERY393225 FBI393222:FBU393225 FLE393222:FLQ393225 FVA393222:FVM393225 GEW393222:GFI393225 GOS393222:GPE393225 GYO393222:GZA393225 HIK393222:HIW393225 HSG393222:HSS393225 ICC393222:ICO393225 ILY393222:IMK393225 IVU393222:IWG393225 JFQ393222:JGC393225 JPM393222:JPY393225 JZI393222:JZU393225 KJE393222:KJQ393225 KTA393222:KTM393225 LCW393222:LDI393225 LMS393222:LNE393225 LWO393222:LXA393225 MGK393222:MGW393225 MQG393222:MQS393225 NAC393222:NAO393225 NJY393222:NKK393225 NTU393222:NUG393225 ODQ393222:OEC393225 ONM393222:ONY393225 OXI393222:OXU393225 PHE393222:PHQ393225 PRA393222:PRM393225 QAW393222:QBI393225 QKS393222:QLE393225 QUO393222:QVA393225 REK393222:REW393225 ROG393222:ROS393225 RYC393222:RYO393225 SHY393222:SIK393225 SRU393222:SSG393225 TBQ393222:TCC393225 TLM393222:TLY393225 TVI393222:TVU393225 UFE393222:UFQ393225 UPA393222:UPM393225 UYW393222:UZI393225 VIS393222:VJE393225 VSO393222:VTA393225 WCK393222:WCW393225 WMG393222:WMS393225 WWC393222:WWO393225 U458758:AG458761 JQ458758:KC458761 TM458758:TY458761 ADI458758:ADU458761 ANE458758:ANQ458761 AXA458758:AXM458761 BGW458758:BHI458761 BQS458758:BRE458761 CAO458758:CBA458761 CKK458758:CKW458761 CUG458758:CUS458761 DEC458758:DEO458761 DNY458758:DOK458761 DXU458758:DYG458761 EHQ458758:EIC458761 ERM458758:ERY458761 FBI458758:FBU458761 FLE458758:FLQ458761 FVA458758:FVM458761 GEW458758:GFI458761 GOS458758:GPE458761 GYO458758:GZA458761 HIK458758:HIW458761 HSG458758:HSS458761 ICC458758:ICO458761 ILY458758:IMK458761 IVU458758:IWG458761 JFQ458758:JGC458761 JPM458758:JPY458761 JZI458758:JZU458761 KJE458758:KJQ458761 KTA458758:KTM458761 LCW458758:LDI458761 LMS458758:LNE458761 LWO458758:LXA458761 MGK458758:MGW458761 MQG458758:MQS458761 NAC458758:NAO458761 NJY458758:NKK458761 NTU458758:NUG458761 ODQ458758:OEC458761 ONM458758:ONY458761 OXI458758:OXU458761 PHE458758:PHQ458761 PRA458758:PRM458761 QAW458758:QBI458761 QKS458758:QLE458761 QUO458758:QVA458761 REK458758:REW458761 ROG458758:ROS458761 RYC458758:RYO458761 SHY458758:SIK458761 SRU458758:SSG458761 TBQ458758:TCC458761 TLM458758:TLY458761 TVI458758:TVU458761 UFE458758:UFQ458761 UPA458758:UPM458761 UYW458758:UZI458761 VIS458758:VJE458761 VSO458758:VTA458761 WCK458758:WCW458761 WMG458758:WMS458761 WWC458758:WWO458761 U524294:AG524297 JQ524294:KC524297 TM524294:TY524297 ADI524294:ADU524297 ANE524294:ANQ524297 AXA524294:AXM524297 BGW524294:BHI524297 BQS524294:BRE524297 CAO524294:CBA524297 CKK524294:CKW524297 CUG524294:CUS524297 DEC524294:DEO524297 DNY524294:DOK524297 DXU524294:DYG524297 EHQ524294:EIC524297 ERM524294:ERY524297 FBI524294:FBU524297 FLE524294:FLQ524297 FVA524294:FVM524297 GEW524294:GFI524297 GOS524294:GPE524297 GYO524294:GZA524297 HIK524294:HIW524297 HSG524294:HSS524297 ICC524294:ICO524297 ILY524294:IMK524297 IVU524294:IWG524297 JFQ524294:JGC524297 JPM524294:JPY524297 JZI524294:JZU524297 KJE524294:KJQ524297 KTA524294:KTM524297 LCW524294:LDI524297 LMS524294:LNE524297 LWO524294:LXA524297 MGK524294:MGW524297 MQG524294:MQS524297 NAC524294:NAO524297 NJY524294:NKK524297 NTU524294:NUG524297 ODQ524294:OEC524297 ONM524294:ONY524297 OXI524294:OXU524297 PHE524294:PHQ524297 PRA524294:PRM524297 QAW524294:QBI524297 QKS524294:QLE524297 QUO524294:QVA524297 REK524294:REW524297 ROG524294:ROS524297 RYC524294:RYO524297 SHY524294:SIK524297 SRU524294:SSG524297 TBQ524294:TCC524297 TLM524294:TLY524297 TVI524294:TVU524297 UFE524294:UFQ524297 UPA524294:UPM524297 UYW524294:UZI524297 VIS524294:VJE524297 VSO524294:VTA524297 WCK524294:WCW524297 WMG524294:WMS524297 WWC524294:WWO524297 U589830:AG589833 JQ589830:KC589833 TM589830:TY589833 ADI589830:ADU589833 ANE589830:ANQ589833 AXA589830:AXM589833 BGW589830:BHI589833 BQS589830:BRE589833 CAO589830:CBA589833 CKK589830:CKW589833 CUG589830:CUS589833 DEC589830:DEO589833 DNY589830:DOK589833 DXU589830:DYG589833 EHQ589830:EIC589833 ERM589830:ERY589833 FBI589830:FBU589833 FLE589830:FLQ589833 FVA589830:FVM589833 GEW589830:GFI589833 GOS589830:GPE589833 GYO589830:GZA589833 HIK589830:HIW589833 HSG589830:HSS589833 ICC589830:ICO589833 ILY589830:IMK589833 IVU589830:IWG589833 JFQ589830:JGC589833 JPM589830:JPY589833 JZI589830:JZU589833 KJE589830:KJQ589833 KTA589830:KTM589833 LCW589830:LDI589833 LMS589830:LNE589833 LWO589830:LXA589833 MGK589830:MGW589833 MQG589830:MQS589833 NAC589830:NAO589833 NJY589830:NKK589833 NTU589830:NUG589833 ODQ589830:OEC589833 ONM589830:ONY589833 OXI589830:OXU589833 PHE589830:PHQ589833 PRA589830:PRM589833 QAW589830:QBI589833 QKS589830:QLE589833 QUO589830:QVA589833 REK589830:REW589833 ROG589830:ROS589833 RYC589830:RYO589833 SHY589830:SIK589833 SRU589830:SSG589833 TBQ589830:TCC589833 TLM589830:TLY589833 TVI589830:TVU589833 UFE589830:UFQ589833 UPA589830:UPM589833 UYW589830:UZI589833 VIS589830:VJE589833 VSO589830:VTA589833 WCK589830:WCW589833 WMG589830:WMS589833 WWC589830:WWO589833 U655366:AG655369 JQ655366:KC655369 TM655366:TY655369 ADI655366:ADU655369 ANE655366:ANQ655369 AXA655366:AXM655369 BGW655366:BHI655369 BQS655366:BRE655369 CAO655366:CBA655369 CKK655366:CKW655369 CUG655366:CUS655369 DEC655366:DEO655369 DNY655366:DOK655369 DXU655366:DYG655369 EHQ655366:EIC655369 ERM655366:ERY655369 FBI655366:FBU655369 FLE655366:FLQ655369 FVA655366:FVM655369 GEW655366:GFI655369 GOS655366:GPE655369 GYO655366:GZA655369 HIK655366:HIW655369 HSG655366:HSS655369 ICC655366:ICO655369 ILY655366:IMK655369 IVU655366:IWG655369 JFQ655366:JGC655369 JPM655366:JPY655369 JZI655366:JZU655369 KJE655366:KJQ655369 KTA655366:KTM655369 LCW655366:LDI655369 LMS655366:LNE655369 LWO655366:LXA655369 MGK655366:MGW655369 MQG655366:MQS655369 NAC655366:NAO655369 NJY655366:NKK655369 NTU655366:NUG655369 ODQ655366:OEC655369 ONM655366:ONY655369 OXI655366:OXU655369 PHE655366:PHQ655369 PRA655366:PRM655369 QAW655366:QBI655369 QKS655366:QLE655369 QUO655366:QVA655369 REK655366:REW655369 ROG655366:ROS655369 RYC655366:RYO655369 SHY655366:SIK655369 SRU655366:SSG655369 TBQ655366:TCC655369 TLM655366:TLY655369 TVI655366:TVU655369 UFE655366:UFQ655369 UPA655366:UPM655369 UYW655366:UZI655369 VIS655366:VJE655369 VSO655366:VTA655369 WCK655366:WCW655369 WMG655366:WMS655369 WWC655366:WWO655369 U720902:AG720905 JQ720902:KC720905 TM720902:TY720905 ADI720902:ADU720905 ANE720902:ANQ720905 AXA720902:AXM720905 BGW720902:BHI720905 BQS720902:BRE720905 CAO720902:CBA720905 CKK720902:CKW720905 CUG720902:CUS720905 DEC720902:DEO720905 DNY720902:DOK720905 DXU720902:DYG720905 EHQ720902:EIC720905 ERM720902:ERY720905 FBI720902:FBU720905 FLE720902:FLQ720905 FVA720902:FVM720905 GEW720902:GFI720905 GOS720902:GPE720905 GYO720902:GZA720905 HIK720902:HIW720905 HSG720902:HSS720905 ICC720902:ICO720905 ILY720902:IMK720905 IVU720902:IWG720905 JFQ720902:JGC720905 JPM720902:JPY720905 JZI720902:JZU720905 KJE720902:KJQ720905 KTA720902:KTM720905 LCW720902:LDI720905 LMS720902:LNE720905 LWO720902:LXA720905 MGK720902:MGW720905 MQG720902:MQS720905 NAC720902:NAO720905 NJY720902:NKK720905 NTU720902:NUG720905 ODQ720902:OEC720905 ONM720902:ONY720905 OXI720902:OXU720905 PHE720902:PHQ720905 PRA720902:PRM720905 QAW720902:QBI720905 QKS720902:QLE720905 QUO720902:QVA720905 REK720902:REW720905 ROG720902:ROS720905 RYC720902:RYO720905 SHY720902:SIK720905 SRU720902:SSG720905 TBQ720902:TCC720905 TLM720902:TLY720905 TVI720902:TVU720905 UFE720902:UFQ720905 UPA720902:UPM720905 UYW720902:UZI720905 VIS720902:VJE720905 VSO720902:VTA720905 WCK720902:WCW720905 WMG720902:WMS720905 WWC720902:WWO720905 U786438:AG786441 JQ786438:KC786441 TM786438:TY786441 ADI786438:ADU786441 ANE786438:ANQ786441 AXA786438:AXM786441 BGW786438:BHI786441 BQS786438:BRE786441 CAO786438:CBA786441 CKK786438:CKW786441 CUG786438:CUS786441 DEC786438:DEO786441 DNY786438:DOK786441 DXU786438:DYG786441 EHQ786438:EIC786441 ERM786438:ERY786441 FBI786438:FBU786441 FLE786438:FLQ786441 FVA786438:FVM786441 GEW786438:GFI786441 GOS786438:GPE786441 GYO786438:GZA786441 HIK786438:HIW786441 HSG786438:HSS786441 ICC786438:ICO786441 ILY786438:IMK786441 IVU786438:IWG786441 JFQ786438:JGC786441 JPM786438:JPY786441 JZI786438:JZU786441 KJE786438:KJQ786441 KTA786438:KTM786441 LCW786438:LDI786441 LMS786438:LNE786441 LWO786438:LXA786441 MGK786438:MGW786441 MQG786438:MQS786441 NAC786438:NAO786441 NJY786438:NKK786441 NTU786438:NUG786441 ODQ786438:OEC786441 ONM786438:ONY786441 OXI786438:OXU786441 PHE786438:PHQ786441 PRA786438:PRM786441 QAW786438:QBI786441 QKS786438:QLE786441 QUO786438:QVA786441 REK786438:REW786441 ROG786438:ROS786441 RYC786438:RYO786441 SHY786438:SIK786441 SRU786438:SSG786441 TBQ786438:TCC786441 TLM786438:TLY786441 TVI786438:TVU786441 UFE786438:UFQ786441 UPA786438:UPM786441 UYW786438:UZI786441 VIS786438:VJE786441 VSO786438:VTA786441 WCK786438:WCW786441 WMG786438:WMS786441 WWC786438:WWO786441 U851974:AG851977 JQ851974:KC851977 TM851974:TY851977 ADI851974:ADU851977 ANE851974:ANQ851977 AXA851974:AXM851977 BGW851974:BHI851977 BQS851974:BRE851977 CAO851974:CBA851977 CKK851974:CKW851977 CUG851974:CUS851977 DEC851974:DEO851977 DNY851974:DOK851977 DXU851974:DYG851977 EHQ851974:EIC851977 ERM851974:ERY851977 FBI851974:FBU851977 FLE851974:FLQ851977 FVA851974:FVM851977 GEW851974:GFI851977 GOS851974:GPE851977 GYO851974:GZA851977 HIK851974:HIW851977 HSG851974:HSS851977 ICC851974:ICO851977 ILY851974:IMK851977 IVU851974:IWG851977 JFQ851974:JGC851977 JPM851974:JPY851977 JZI851974:JZU851977 KJE851974:KJQ851977 KTA851974:KTM851977 LCW851974:LDI851977 LMS851974:LNE851977 LWO851974:LXA851977 MGK851974:MGW851977 MQG851974:MQS851977 NAC851974:NAO851977 NJY851974:NKK851977 NTU851974:NUG851977 ODQ851974:OEC851977 ONM851974:ONY851977 OXI851974:OXU851977 PHE851974:PHQ851977 PRA851974:PRM851977 QAW851974:QBI851977 QKS851974:QLE851977 QUO851974:QVA851977 REK851974:REW851977 ROG851974:ROS851977 RYC851974:RYO851977 SHY851974:SIK851977 SRU851974:SSG851977 TBQ851974:TCC851977 TLM851974:TLY851977 TVI851974:TVU851977 UFE851974:UFQ851977 UPA851974:UPM851977 UYW851974:UZI851977 VIS851974:VJE851977 VSO851974:VTA851977 WCK851974:WCW851977 WMG851974:WMS851977 WWC851974:WWO851977 U917510:AG917513 JQ917510:KC917513 TM917510:TY917513 ADI917510:ADU917513 ANE917510:ANQ917513 AXA917510:AXM917513 BGW917510:BHI917513 BQS917510:BRE917513 CAO917510:CBA917513 CKK917510:CKW917513 CUG917510:CUS917513 DEC917510:DEO917513 DNY917510:DOK917513 DXU917510:DYG917513 EHQ917510:EIC917513 ERM917510:ERY917513 FBI917510:FBU917513 FLE917510:FLQ917513 FVA917510:FVM917513 GEW917510:GFI917513 GOS917510:GPE917513 GYO917510:GZA917513 HIK917510:HIW917513 HSG917510:HSS917513 ICC917510:ICO917513 ILY917510:IMK917513 IVU917510:IWG917513 JFQ917510:JGC917513 JPM917510:JPY917513 JZI917510:JZU917513 KJE917510:KJQ917513 KTA917510:KTM917513 LCW917510:LDI917513 LMS917510:LNE917513 LWO917510:LXA917513 MGK917510:MGW917513 MQG917510:MQS917513 NAC917510:NAO917513 NJY917510:NKK917513 NTU917510:NUG917513 ODQ917510:OEC917513 ONM917510:ONY917513 OXI917510:OXU917513 PHE917510:PHQ917513 PRA917510:PRM917513 QAW917510:QBI917513 QKS917510:QLE917513 QUO917510:QVA917513 REK917510:REW917513 ROG917510:ROS917513 RYC917510:RYO917513 SHY917510:SIK917513 SRU917510:SSG917513 TBQ917510:TCC917513 TLM917510:TLY917513 TVI917510:TVU917513 UFE917510:UFQ917513 UPA917510:UPM917513 UYW917510:UZI917513 VIS917510:VJE917513 VSO917510:VTA917513 WCK917510:WCW917513 WMG917510:WMS917513 WWC917510:WWO917513 U983046:AG983049 JQ983046:KC983049 TM983046:TY983049 ADI983046:ADU983049 ANE983046:ANQ983049 AXA983046:AXM983049 BGW983046:BHI983049 BQS983046:BRE983049 CAO983046:CBA983049 CKK983046:CKW983049 CUG983046:CUS983049 DEC983046:DEO983049 DNY983046:DOK983049 DXU983046:DYG983049 EHQ983046:EIC983049 ERM983046:ERY983049 FBI983046:FBU983049 FLE983046:FLQ983049 FVA983046:FVM983049 GEW983046:GFI983049 GOS983046:GPE983049 GYO983046:GZA983049 HIK983046:HIW983049 HSG983046:HSS983049 ICC983046:ICO983049 ILY983046:IMK983049 IVU983046:IWG983049 JFQ983046:JGC983049 JPM983046:JPY983049 JZI983046:JZU983049 KJE983046:KJQ983049 KTA983046:KTM983049 LCW983046:LDI983049 LMS983046:LNE983049 LWO983046:LXA983049 MGK983046:MGW983049 MQG983046:MQS983049 NAC983046:NAO983049 NJY983046:NKK983049 NTU983046:NUG983049 ODQ983046:OEC983049 ONM983046:ONY983049 OXI983046:OXU983049 PHE983046:PHQ983049 PRA983046:PRM983049 QAW983046:QBI983049 QKS983046:QLE983049 QUO983046:QVA983049 REK983046:REW983049 ROG983046:ROS983049 RYC983046:RYO983049 SHY983046:SIK983049 SRU983046:SSG983049 TBQ983046:TCC983049 TLM983046:TLY983049 TVI983046:TVU983049 UFE983046:UFQ983049 UPA983046:UPM983049 UYW983046:UZI983049 VIS983046:VJE983049 VSO983046:VTA983049 WCK983046:WCW983049 WMG983046:WMS983049 WWC983046:WWO983049 K20:Z29 JG20:JV29 TC20:TR29 ACY20:ADN29 AMU20:ANJ29 AWQ20:AXF29 BGM20:BHB29 BQI20:BQX29 CAE20:CAT29 CKA20:CKP29 CTW20:CUL29 DDS20:DEH29 DNO20:DOD29 DXK20:DXZ29 EHG20:EHV29 ERC20:ERR29 FAY20:FBN29 FKU20:FLJ29 FUQ20:FVF29 GEM20:GFB29 GOI20:GOX29 GYE20:GYT29 HIA20:HIP29 HRW20:HSL29 IBS20:ICH29 ILO20:IMD29 IVK20:IVZ29 JFG20:JFV29 JPC20:JPR29 JYY20:JZN29 KIU20:KJJ29 KSQ20:KTF29 LCM20:LDB29 LMI20:LMX29 LWE20:LWT29 MGA20:MGP29 MPW20:MQL29 MZS20:NAH29 NJO20:NKD29 NTK20:NTZ29 ODG20:ODV29 ONC20:ONR29 OWY20:OXN29 PGU20:PHJ29 PQQ20:PRF29 QAM20:QBB29 QKI20:QKX29 QUE20:QUT29 REA20:REP29 RNW20:ROL29 RXS20:RYH29 SHO20:SID29 SRK20:SRZ29 TBG20:TBV29 TLC20:TLR29 TUY20:TVN29 UEU20:UFJ29 UOQ20:UPF29 UYM20:UZB29 VII20:VIX29 VSE20:VST29 WCA20:WCP29 WLW20:WML29 WVS20:WWH29 K65556:Z65565 JG65556:JV65565 TC65556:TR65565 ACY65556:ADN65565 AMU65556:ANJ65565 AWQ65556:AXF65565 BGM65556:BHB65565 BQI65556:BQX65565 CAE65556:CAT65565 CKA65556:CKP65565 CTW65556:CUL65565 DDS65556:DEH65565 DNO65556:DOD65565 DXK65556:DXZ65565 EHG65556:EHV65565 ERC65556:ERR65565 FAY65556:FBN65565 FKU65556:FLJ65565 FUQ65556:FVF65565 GEM65556:GFB65565 GOI65556:GOX65565 GYE65556:GYT65565 HIA65556:HIP65565 HRW65556:HSL65565 IBS65556:ICH65565 ILO65556:IMD65565 IVK65556:IVZ65565 JFG65556:JFV65565 JPC65556:JPR65565 JYY65556:JZN65565 KIU65556:KJJ65565 KSQ65556:KTF65565 LCM65556:LDB65565 LMI65556:LMX65565 LWE65556:LWT65565 MGA65556:MGP65565 MPW65556:MQL65565 MZS65556:NAH65565 NJO65556:NKD65565 NTK65556:NTZ65565 ODG65556:ODV65565 ONC65556:ONR65565 OWY65556:OXN65565 PGU65556:PHJ65565 PQQ65556:PRF65565 QAM65556:QBB65565 QKI65556:QKX65565 QUE65556:QUT65565 REA65556:REP65565 RNW65556:ROL65565 RXS65556:RYH65565 SHO65556:SID65565 SRK65556:SRZ65565 TBG65556:TBV65565 TLC65556:TLR65565 TUY65556:TVN65565 UEU65556:UFJ65565 UOQ65556:UPF65565 UYM65556:UZB65565 VII65556:VIX65565 VSE65556:VST65565 WCA65556:WCP65565 WLW65556:WML65565 WVS65556:WWH65565 K131092:Z131101 JG131092:JV131101 TC131092:TR131101 ACY131092:ADN131101 AMU131092:ANJ131101 AWQ131092:AXF131101 BGM131092:BHB131101 BQI131092:BQX131101 CAE131092:CAT131101 CKA131092:CKP131101 CTW131092:CUL131101 DDS131092:DEH131101 DNO131092:DOD131101 DXK131092:DXZ131101 EHG131092:EHV131101 ERC131092:ERR131101 FAY131092:FBN131101 FKU131092:FLJ131101 FUQ131092:FVF131101 GEM131092:GFB131101 GOI131092:GOX131101 GYE131092:GYT131101 HIA131092:HIP131101 HRW131092:HSL131101 IBS131092:ICH131101 ILO131092:IMD131101 IVK131092:IVZ131101 JFG131092:JFV131101 JPC131092:JPR131101 JYY131092:JZN131101 KIU131092:KJJ131101 KSQ131092:KTF131101 LCM131092:LDB131101 LMI131092:LMX131101 LWE131092:LWT131101 MGA131092:MGP131101 MPW131092:MQL131101 MZS131092:NAH131101 NJO131092:NKD131101 NTK131092:NTZ131101 ODG131092:ODV131101 ONC131092:ONR131101 OWY131092:OXN131101 PGU131092:PHJ131101 PQQ131092:PRF131101 QAM131092:QBB131101 QKI131092:QKX131101 QUE131092:QUT131101 REA131092:REP131101 RNW131092:ROL131101 RXS131092:RYH131101 SHO131092:SID131101 SRK131092:SRZ131101 TBG131092:TBV131101 TLC131092:TLR131101 TUY131092:TVN131101 UEU131092:UFJ131101 UOQ131092:UPF131101 UYM131092:UZB131101 VII131092:VIX131101 VSE131092:VST131101 WCA131092:WCP131101 WLW131092:WML131101 WVS131092:WWH131101 K196628:Z196637 JG196628:JV196637 TC196628:TR196637 ACY196628:ADN196637 AMU196628:ANJ196637 AWQ196628:AXF196637 BGM196628:BHB196637 BQI196628:BQX196637 CAE196628:CAT196637 CKA196628:CKP196637 CTW196628:CUL196637 DDS196628:DEH196637 DNO196628:DOD196637 DXK196628:DXZ196637 EHG196628:EHV196637 ERC196628:ERR196637 FAY196628:FBN196637 FKU196628:FLJ196637 FUQ196628:FVF196637 GEM196628:GFB196637 GOI196628:GOX196637 GYE196628:GYT196637 HIA196628:HIP196637 HRW196628:HSL196637 IBS196628:ICH196637 ILO196628:IMD196637 IVK196628:IVZ196637 JFG196628:JFV196637 JPC196628:JPR196637 JYY196628:JZN196637 KIU196628:KJJ196637 KSQ196628:KTF196637 LCM196628:LDB196637 LMI196628:LMX196637 LWE196628:LWT196637 MGA196628:MGP196637 MPW196628:MQL196637 MZS196628:NAH196637 NJO196628:NKD196637 NTK196628:NTZ196637 ODG196628:ODV196637 ONC196628:ONR196637 OWY196628:OXN196637 PGU196628:PHJ196637 PQQ196628:PRF196637 QAM196628:QBB196637 QKI196628:QKX196637 QUE196628:QUT196637 REA196628:REP196637 RNW196628:ROL196637 RXS196628:RYH196637 SHO196628:SID196637 SRK196628:SRZ196637 TBG196628:TBV196637 TLC196628:TLR196637 TUY196628:TVN196637 UEU196628:UFJ196637 UOQ196628:UPF196637 UYM196628:UZB196637 VII196628:VIX196637 VSE196628:VST196637 WCA196628:WCP196637 WLW196628:WML196637 WVS196628:WWH196637 K262164:Z262173 JG262164:JV262173 TC262164:TR262173 ACY262164:ADN262173 AMU262164:ANJ262173 AWQ262164:AXF262173 BGM262164:BHB262173 BQI262164:BQX262173 CAE262164:CAT262173 CKA262164:CKP262173 CTW262164:CUL262173 DDS262164:DEH262173 DNO262164:DOD262173 DXK262164:DXZ262173 EHG262164:EHV262173 ERC262164:ERR262173 FAY262164:FBN262173 FKU262164:FLJ262173 FUQ262164:FVF262173 GEM262164:GFB262173 GOI262164:GOX262173 GYE262164:GYT262173 HIA262164:HIP262173 HRW262164:HSL262173 IBS262164:ICH262173 ILO262164:IMD262173 IVK262164:IVZ262173 JFG262164:JFV262173 JPC262164:JPR262173 JYY262164:JZN262173 KIU262164:KJJ262173 KSQ262164:KTF262173 LCM262164:LDB262173 LMI262164:LMX262173 LWE262164:LWT262173 MGA262164:MGP262173 MPW262164:MQL262173 MZS262164:NAH262173 NJO262164:NKD262173 NTK262164:NTZ262173 ODG262164:ODV262173 ONC262164:ONR262173 OWY262164:OXN262173 PGU262164:PHJ262173 PQQ262164:PRF262173 QAM262164:QBB262173 QKI262164:QKX262173 QUE262164:QUT262173 REA262164:REP262173 RNW262164:ROL262173 RXS262164:RYH262173 SHO262164:SID262173 SRK262164:SRZ262173 TBG262164:TBV262173 TLC262164:TLR262173 TUY262164:TVN262173 UEU262164:UFJ262173 UOQ262164:UPF262173 UYM262164:UZB262173 VII262164:VIX262173 VSE262164:VST262173 WCA262164:WCP262173 WLW262164:WML262173 WVS262164:WWH262173 K327700:Z327709 JG327700:JV327709 TC327700:TR327709 ACY327700:ADN327709 AMU327700:ANJ327709 AWQ327700:AXF327709 BGM327700:BHB327709 BQI327700:BQX327709 CAE327700:CAT327709 CKA327700:CKP327709 CTW327700:CUL327709 DDS327700:DEH327709 DNO327700:DOD327709 DXK327700:DXZ327709 EHG327700:EHV327709 ERC327700:ERR327709 FAY327700:FBN327709 FKU327700:FLJ327709 FUQ327700:FVF327709 GEM327700:GFB327709 GOI327700:GOX327709 GYE327700:GYT327709 HIA327700:HIP327709 HRW327700:HSL327709 IBS327700:ICH327709 ILO327700:IMD327709 IVK327700:IVZ327709 JFG327700:JFV327709 JPC327700:JPR327709 JYY327700:JZN327709 KIU327700:KJJ327709 KSQ327700:KTF327709 LCM327700:LDB327709 LMI327700:LMX327709 LWE327700:LWT327709 MGA327700:MGP327709 MPW327700:MQL327709 MZS327700:NAH327709 NJO327700:NKD327709 NTK327700:NTZ327709 ODG327700:ODV327709 ONC327700:ONR327709 OWY327700:OXN327709 PGU327700:PHJ327709 PQQ327700:PRF327709 QAM327700:QBB327709 QKI327700:QKX327709 QUE327700:QUT327709 REA327700:REP327709 RNW327700:ROL327709 RXS327700:RYH327709 SHO327700:SID327709 SRK327700:SRZ327709 TBG327700:TBV327709 TLC327700:TLR327709 TUY327700:TVN327709 UEU327700:UFJ327709 UOQ327700:UPF327709 UYM327700:UZB327709 VII327700:VIX327709 VSE327700:VST327709 WCA327700:WCP327709 WLW327700:WML327709 WVS327700:WWH327709 K393236:Z393245 JG393236:JV393245 TC393236:TR393245 ACY393236:ADN393245 AMU393236:ANJ393245 AWQ393236:AXF393245 BGM393236:BHB393245 BQI393236:BQX393245 CAE393236:CAT393245 CKA393236:CKP393245 CTW393236:CUL393245 DDS393236:DEH393245 DNO393236:DOD393245 DXK393236:DXZ393245 EHG393236:EHV393245 ERC393236:ERR393245 FAY393236:FBN393245 FKU393236:FLJ393245 FUQ393236:FVF393245 GEM393236:GFB393245 GOI393236:GOX393245 GYE393236:GYT393245 HIA393236:HIP393245 HRW393236:HSL393245 IBS393236:ICH393245 ILO393236:IMD393245 IVK393236:IVZ393245 JFG393236:JFV393245 JPC393236:JPR393245 JYY393236:JZN393245 KIU393236:KJJ393245 KSQ393236:KTF393245 LCM393236:LDB393245 LMI393236:LMX393245 LWE393236:LWT393245 MGA393236:MGP393245 MPW393236:MQL393245 MZS393236:NAH393245 NJO393236:NKD393245 NTK393236:NTZ393245 ODG393236:ODV393245 ONC393236:ONR393245 OWY393236:OXN393245 PGU393236:PHJ393245 PQQ393236:PRF393245 QAM393236:QBB393245 QKI393236:QKX393245 QUE393236:QUT393245 REA393236:REP393245 RNW393236:ROL393245 RXS393236:RYH393245 SHO393236:SID393245 SRK393236:SRZ393245 TBG393236:TBV393245 TLC393236:TLR393245 TUY393236:TVN393245 UEU393236:UFJ393245 UOQ393236:UPF393245 UYM393236:UZB393245 VII393236:VIX393245 VSE393236:VST393245 WCA393236:WCP393245 WLW393236:WML393245 WVS393236:WWH393245 K458772:Z458781 JG458772:JV458781 TC458772:TR458781 ACY458772:ADN458781 AMU458772:ANJ458781 AWQ458772:AXF458781 BGM458772:BHB458781 BQI458772:BQX458781 CAE458772:CAT458781 CKA458772:CKP458781 CTW458772:CUL458781 DDS458772:DEH458781 DNO458772:DOD458781 DXK458772:DXZ458781 EHG458772:EHV458781 ERC458772:ERR458781 FAY458772:FBN458781 FKU458772:FLJ458781 FUQ458772:FVF458781 GEM458772:GFB458781 GOI458772:GOX458781 GYE458772:GYT458781 HIA458772:HIP458781 HRW458772:HSL458781 IBS458772:ICH458781 ILO458772:IMD458781 IVK458772:IVZ458781 JFG458772:JFV458781 JPC458772:JPR458781 JYY458772:JZN458781 KIU458772:KJJ458781 KSQ458772:KTF458781 LCM458772:LDB458781 LMI458772:LMX458781 LWE458772:LWT458781 MGA458772:MGP458781 MPW458772:MQL458781 MZS458772:NAH458781 NJO458772:NKD458781 NTK458772:NTZ458781 ODG458772:ODV458781 ONC458772:ONR458781 OWY458772:OXN458781 PGU458772:PHJ458781 PQQ458772:PRF458781 QAM458772:QBB458781 QKI458772:QKX458781 QUE458772:QUT458781 REA458772:REP458781 RNW458772:ROL458781 RXS458772:RYH458781 SHO458772:SID458781 SRK458772:SRZ458781 TBG458772:TBV458781 TLC458772:TLR458781 TUY458772:TVN458781 UEU458772:UFJ458781 UOQ458772:UPF458781 UYM458772:UZB458781 VII458772:VIX458781 VSE458772:VST458781 WCA458772:WCP458781 WLW458772:WML458781 WVS458772:WWH458781 K524308:Z524317 JG524308:JV524317 TC524308:TR524317 ACY524308:ADN524317 AMU524308:ANJ524317 AWQ524308:AXF524317 BGM524308:BHB524317 BQI524308:BQX524317 CAE524308:CAT524317 CKA524308:CKP524317 CTW524308:CUL524317 DDS524308:DEH524317 DNO524308:DOD524317 DXK524308:DXZ524317 EHG524308:EHV524317 ERC524308:ERR524317 FAY524308:FBN524317 FKU524308:FLJ524317 FUQ524308:FVF524317 GEM524308:GFB524317 GOI524308:GOX524317 GYE524308:GYT524317 HIA524308:HIP524317 HRW524308:HSL524317 IBS524308:ICH524317 ILO524308:IMD524317 IVK524308:IVZ524317 JFG524308:JFV524317 JPC524308:JPR524317 JYY524308:JZN524317 KIU524308:KJJ524317 KSQ524308:KTF524317 LCM524308:LDB524317 LMI524308:LMX524317 LWE524308:LWT524317 MGA524308:MGP524317 MPW524308:MQL524317 MZS524308:NAH524317 NJO524308:NKD524317 NTK524308:NTZ524317 ODG524308:ODV524317 ONC524308:ONR524317 OWY524308:OXN524317 PGU524308:PHJ524317 PQQ524308:PRF524317 QAM524308:QBB524317 QKI524308:QKX524317 QUE524308:QUT524317 REA524308:REP524317 RNW524308:ROL524317 RXS524308:RYH524317 SHO524308:SID524317 SRK524308:SRZ524317 TBG524308:TBV524317 TLC524308:TLR524317 TUY524308:TVN524317 UEU524308:UFJ524317 UOQ524308:UPF524317 UYM524308:UZB524317 VII524308:VIX524317 VSE524308:VST524317 WCA524308:WCP524317 WLW524308:WML524317 WVS524308:WWH524317 K589844:Z589853 JG589844:JV589853 TC589844:TR589853 ACY589844:ADN589853 AMU589844:ANJ589853 AWQ589844:AXF589853 BGM589844:BHB589853 BQI589844:BQX589853 CAE589844:CAT589853 CKA589844:CKP589853 CTW589844:CUL589853 DDS589844:DEH589853 DNO589844:DOD589853 DXK589844:DXZ589853 EHG589844:EHV589853 ERC589844:ERR589853 FAY589844:FBN589853 FKU589844:FLJ589853 FUQ589844:FVF589853 GEM589844:GFB589853 GOI589844:GOX589853 GYE589844:GYT589853 HIA589844:HIP589853 HRW589844:HSL589853 IBS589844:ICH589853 ILO589844:IMD589853 IVK589844:IVZ589853 JFG589844:JFV589853 JPC589844:JPR589853 JYY589844:JZN589853 KIU589844:KJJ589853 KSQ589844:KTF589853 LCM589844:LDB589853 LMI589844:LMX589853 LWE589844:LWT589853 MGA589844:MGP589853 MPW589844:MQL589853 MZS589844:NAH589853 NJO589844:NKD589853 NTK589844:NTZ589853 ODG589844:ODV589853 ONC589844:ONR589853 OWY589844:OXN589853 PGU589844:PHJ589853 PQQ589844:PRF589853 QAM589844:QBB589853 QKI589844:QKX589853 QUE589844:QUT589853 REA589844:REP589853 RNW589844:ROL589853 RXS589844:RYH589853 SHO589844:SID589853 SRK589844:SRZ589853 TBG589844:TBV589853 TLC589844:TLR589853 TUY589844:TVN589853 UEU589844:UFJ589853 UOQ589844:UPF589853 UYM589844:UZB589853 VII589844:VIX589853 VSE589844:VST589853 WCA589844:WCP589853 WLW589844:WML589853 WVS589844:WWH589853 K655380:Z655389 JG655380:JV655389 TC655380:TR655389 ACY655380:ADN655389 AMU655380:ANJ655389 AWQ655380:AXF655389 BGM655380:BHB655389 BQI655380:BQX655389 CAE655380:CAT655389 CKA655380:CKP655389 CTW655380:CUL655389 DDS655380:DEH655389 DNO655380:DOD655389 DXK655380:DXZ655389 EHG655380:EHV655389 ERC655380:ERR655389 FAY655380:FBN655389 FKU655380:FLJ655389 FUQ655380:FVF655389 GEM655380:GFB655389 GOI655380:GOX655389 GYE655380:GYT655389 HIA655380:HIP655389 HRW655380:HSL655389 IBS655380:ICH655389 ILO655380:IMD655389 IVK655380:IVZ655389 JFG655380:JFV655389 JPC655380:JPR655389 JYY655380:JZN655389 KIU655380:KJJ655389 KSQ655380:KTF655389 LCM655380:LDB655389 LMI655380:LMX655389 LWE655380:LWT655389 MGA655380:MGP655389 MPW655380:MQL655389 MZS655380:NAH655389 NJO655380:NKD655389 NTK655380:NTZ655389 ODG655380:ODV655389 ONC655380:ONR655389 OWY655380:OXN655389 PGU655380:PHJ655389 PQQ655380:PRF655389 QAM655380:QBB655389 QKI655380:QKX655389 QUE655380:QUT655389 REA655380:REP655389 RNW655380:ROL655389 RXS655380:RYH655389 SHO655380:SID655389 SRK655380:SRZ655389 TBG655380:TBV655389 TLC655380:TLR655389 TUY655380:TVN655389 UEU655380:UFJ655389 UOQ655380:UPF655389 UYM655380:UZB655389 VII655380:VIX655389 VSE655380:VST655389 WCA655380:WCP655389 WLW655380:WML655389 WVS655380:WWH655389 K720916:Z720925 JG720916:JV720925 TC720916:TR720925 ACY720916:ADN720925 AMU720916:ANJ720925 AWQ720916:AXF720925 BGM720916:BHB720925 BQI720916:BQX720925 CAE720916:CAT720925 CKA720916:CKP720925 CTW720916:CUL720925 DDS720916:DEH720925 DNO720916:DOD720925 DXK720916:DXZ720925 EHG720916:EHV720925 ERC720916:ERR720925 FAY720916:FBN720925 FKU720916:FLJ720925 FUQ720916:FVF720925 GEM720916:GFB720925 GOI720916:GOX720925 GYE720916:GYT720925 HIA720916:HIP720925 HRW720916:HSL720925 IBS720916:ICH720925 ILO720916:IMD720925 IVK720916:IVZ720925 JFG720916:JFV720925 JPC720916:JPR720925 JYY720916:JZN720925 KIU720916:KJJ720925 KSQ720916:KTF720925 LCM720916:LDB720925 LMI720916:LMX720925 LWE720916:LWT720925 MGA720916:MGP720925 MPW720916:MQL720925 MZS720916:NAH720925 NJO720916:NKD720925 NTK720916:NTZ720925 ODG720916:ODV720925 ONC720916:ONR720925 OWY720916:OXN720925 PGU720916:PHJ720925 PQQ720916:PRF720925 QAM720916:QBB720925 QKI720916:QKX720925 QUE720916:QUT720925 REA720916:REP720925 RNW720916:ROL720925 RXS720916:RYH720925 SHO720916:SID720925 SRK720916:SRZ720925 TBG720916:TBV720925 TLC720916:TLR720925 TUY720916:TVN720925 UEU720916:UFJ720925 UOQ720916:UPF720925 UYM720916:UZB720925 VII720916:VIX720925 VSE720916:VST720925 WCA720916:WCP720925 WLW720916:WML720925 WVS720916:WWH720925 K786452:Z786461 JG786452:JV786461 TC786452:TR786461 ACY786452:ADN786461 AMU786452:ANJ786461 AWQ786452:AXF786461 BGM786452:BHB786461 BQI786452:BQX786461 CAE786452:CAT786461 CKA786452:CKP786461 CTW786452:CUL786461 DDS786452:DEH786461 DNO786452:DOD786461 DXK786452:DXZ786461 EHG786452:EHV786461 ERC786452:ERR786461 FAY786452:FBN786461 FKU786452:FLJ786461 FUQ786452:FVF786461 GEM786452:GFB786461 GOI786452:GOX786461 GYE786452:GYT786461 HIA786452:HIP786461 HRW786452:HSL786461 IBS786452:ICH786461 ILO786452:IMD786461 IVK786452:IVZ786461 JFG786452:JFV786461 JPC786452:JPR786461 JYY786452:JZN786461 KIU786452:KJJ786461 KSQ786452:KTF786461 LCM786452:LDB786461 LMI786452:LMX786461 LWE786452:LWT786461 MGA786452:MGP786461 MPW786452:MQL786461 MZS786452:NAH786461 NJO786452:NKD786461 NTK786452:NTZ786461 ODG786452:ODV786461 ONC786452:ONR786461 OWY786452:OXN786461 PGU786452:PHJ786461 PQQ786452:PRF786461 QAM786452:QBB786461 QKI786452:QKX786461 QUE786452:QUT786461 REA786452:REP786461 RNW786452:ROL786461 RXS786452:RYH786461 SHO786452:SID786461 SRK786452:SRZ786461 TBG786452:TBV786461 TLC786452:TLR786461 TUY786452:TVN786461 UEU786452:UFJ786461 UOQ786452:UPF786461 UYM786452:UZB786461 VII786452:VIX786461 VSE786452:VST786461 WCA786452:WCP786461 WLW786452:WML786461 WVS786452:WWH786461 K851988:Z851997 JG851988:JV851997 TC851988:TR851997 ACY851988:ADN851997 AMU851988:ANJ851997 AWQ851988:AXF851997 BGM851988:BHB851997 BQI851988:BQX851997 CAE851988:CAT851997 CKA851988:CKP851997 CTW851988:CUL851997 DDS851988:DEH851997 DNO851988:DOD851997 DXK851988:DXZ851997 EHG851988:EHV851997 ERC851988:ERR851997 FAY851988:FBN851997 FKU851988:FLJ851997 FUQ851988:FVF851997 GEM851988:GFB851997 GOI851988:GOX851997 GYE851988:GYT851997 HIA851988:HIP851997 HRW851988:HSL851997 IBS851988:ICH851997 ILO851988:IMD851997 IVK851988:IVZ851997 JFG851988:JFV851997 JPC851988:JPR851997 JYY851988:JZN851997 KIU851988:KJJ851997 KSQ851988:KTF851997 LCM851988:LDB851997 LMI851988:LMX851997 LWE851988:LWT851997 MGA851988:MGP851997 MPW851988:MQL851997 MZS851988:NAH851997 NJO851988:NKD851997 NTK851988:NTZ851997 ODG851988:ODV851997 ONC851988:ONR851997 OWY851988:OXN851997 PGU851988:PHJ851997 PQQ851988:PRF851997 QAM851988:QBB851997 QKI851988:QKX851997 QUE851988:QUT851997 REA851988:REP851997 RNW851988:ROL851997 RXS851988:RYH851997 SHO851988:SID851997 SRK851988:SRZ851997 TBG851988:TBV851997 TLC851988:TLR851997 TUY851988:TVN851997 UEU851988:UFJ851997 UOQ851988:UPF851997 UYM851988:UZB851997 VII851988:VIX851997 VSE851988:VST851997 WCA851988:WCP851997 WLW851988:WML851997 WVS851988:WWH851997 K917524:Z917533 JG917524:JV917533 TC917524:TR917533 ACY917524:ADN917533 AMU917524:ANJ917533 AWQ917524:AXF917533 BGM917524:BHB917533 BQI917524:BQX917533 CAE917524:CAT917533 CKA917524:CKP917533 CTW917524:CUL917533 DDS917524:DEH917533 DNO917524:DOD917533 DXK917524:DXZ917533 EHG917524:EHV917533 ERC917524:ERR917533 FAY917524:FBN917533 FKU917524:FLJ917533 FUQ917524:FVF917533 GEM917524:GFB917533 GOI917524:GOX917533 GYE917524:GYT917533 HIA917524:HIP917533 HRW917524:HSL917533 IBS917524:ICH917533 ILO917524:IMD917533 IVK917524:IVZ917533 JFG917524:JFV917533 JPC917524:JPR917533 JYY917524:JZN917533 KIU917524:KJJ917533 KSQ917524:KTF917533 LCM917524:LDB917533 LMI917524:LMX917533 LWE917524:LWT917533 MGA917524:MGP917533 MPW917524:MQL917533 MZS917524:NAH917533 NJO917524:NKD917533 NTK917524:NTZ917533 ODG917524:ODV917533 ONC917524:ONR917533 OWY917524:OXN917533 PGU917524:PHJ917533 PQQ917524:PRF917533 QAM917524:QBB917533 QKI917524:QKX917533 QUE917524:QUT917533 REA917524:REP917533 RNW917524:ROL917533 RXS917524:RYH917533 SHO917524:SID917533 SRK917524:SRZ917533 TBG917524:TBV917533 TLC917524:TLR917533 TUY917524:TVN917533 UEU917524:UFJ917533 UOQ917524:UPF917533 UYM917524:UZB917533 VII917524:VIX917533 VSE917524:VST917533 WCA917524:WCP917533 WLW917524:WML917533 WVS917524:WWH917533 K983060:Z983069 JG983060:JV983069 TC983060:TR983069 ACY983060:ADN983069 AMU983060:ANJ983069 AWQ983060:AXF983069 BGM983060:BHB983069 BQI983060:BQX983069 CAE983060:CAT983069 CKA983060:CKP983069 CTW983060:CUL983069 DDS983060:DEH983069 DNO983060:DOD983069 DXK983060:DXZ983069 EHG983060:EHV983069 ERC983060:ERR983069 FAY983060:FBN983069 FKU983060:FLJ983069 FUQ983060:FVF983069 GEM983060:GFB983069 GOI983060:GOX983069 GYE983060:GYT983069 HIA983060:HIP983069 HRW983060:HSL983069 IBS983060:ICH983069 ILO983060:IMD983069 IVK983060:IVZ983069 JFG983060:JFV983069 JPC983060:JPR983069 JYY983060:JZN983069 KIU983060:KJJ983069 KSQ983060:KTF983069 LCM983060:LDB983069 LMI983060:LMX983069 LWE983060:LWT983069 MGA983060:MGP983069 MPW983060:MQL983069 MZS983060:NAH983069 NJO983060:NKD983069 NTK983060:NTZ983069 ODG983060:ODV983069 ONC983060:ONR983069 OWY983060:OXN983069 PGU983060:PHJ983069 PQQ983060:PRF983069 QAM983060:QBB983069 QKI983060:QKX983069 QUE983060:QUT983069 REA983060:REP983069 RNW983060:ROL983069 RXS983060:RYH983069 SHO983060:SID983069 SRK983060:SRZ983069 TBG983060:TBV983069 TLC983060:TLR983069 TUY983060:TVN983069 UEU983060:UFJ983069 UOQ983060:UPF983069 UYM983060:UZB983069 VII983060:VIX983069 VSE983060:VST983069 WCA983060:WCP983069 WLW983060:WML983069 WVS983060:WWH983069 T30:AG30 JP30:KC30 TL30:TY30 ADH30:ADU30 AND30:ANQ30 AWZ30:AXM30 BGV30:BHI30 BQR30:BRE30 CAN30:CBA30 CKJ30:CKW30 CUF30:CUS30 DEB30:DEO30 DNX30:DOK30 DXT30:DYG30 EHP30:EIC30 ERL30:ERY30 FBH30:FBU30 FLD30:FLQ30 FUZ30:FVM30 GEV30:GFI30 GOR30:GPE30 GYN30:GZA30 HIJ30:HIW30 HSF30:HSS30 ICB30:ICO30 ILX30:IMK30 IVT30:IWG30 JFP30:JGC30 JPL30:JPY30 JZH30:JZU30 KJD30:KJQ30 KSZ30:KTM30 LCV30:LDI30 LMR30:LNE30 LWN30:LXA30 MGJ30:MGW30 MQF30:MQS30 NAB30:NAO30 NJX30:NKK30 NTT30:NUG30 ODP30:OEC30 ONL30:ONY30 OXH30:OXU30 PHD30:PHQ30 PQZ30:PRM30 QAV30:QBI30 QKR30:QLE30 QUN30:QVA30 REJ30:REW30 ROF30:ROS30 RYB30:RYO30 SHX30:SIK30 SRT30:SSG30 TBP30:TCC30 TLL30:TLY30 TVH30:TVU30 UFD30:UFQ30 UOZ30:UPM30 UYV30:UZI30 VIR30:VJE30 VSN30:VTA30 WCJ30:WCW30 WMF30:WMS30 WWB30:WWO30 T65566:AG65566 JP65566:KC65566 TL65566:TY65566 ADH65566:ADU65566 AND65566:ANQ65566 AWZ65566:AXM65566 BGV65566:BHI65566 BQR65566:BRE65566 CAN65566:CBA65566 CKJ65566:CKW65566 CUF65566:CUS65566 DEB65566:DEO65566 DNX65566:DOK65566 DXT65566:DYG65566 EHP65566:EIC65566 ERL65566:ERY65566 FBH65566:FBU65566 FLD65566:FLQ65566 FUZ65566:FVM65566 GEV65566:GFI65566 GOR65566:GPE65566 GYN65566:GZA65566 HIJ65566:HIW65566 HSF65566:HSS65566 ICB65566:ICO65566 ILX65566:IMK65566 IVT65566:IWG65566 JFP65566:JGC65566 JPL65566:JPY65566 JZH65566:JZU65566 KJD65566:KJQ65566 KSZ65566:KTM65566 LCV65566:LDI65566 LMR65566:LNE65566 LWN65566:LXA65566 MGJ65566:MGW65566 MQF65566:MQS65566 NAB65566:NAO65566 NJX65566:NKK65566 NTT65566:NUG65566 ODP65566:OEC65566 ONL65566:ONY65566 OXH65566:OXU65566 PHD65566:PHQ65566 PQZ65566:PRM65566 QAV65566:QBI65566 QKR65566:QLE65566 QUN65566:QVA65566 REJ65566:REW65566 ROF65566:ROS65566 RYB65566:RYO65566 SHX65566:SIK65566 SRT65566:SSG65566 TBP65566:TCC65566 TLL65566:TLY65566 TVH65566:TVU65566 UFD65566:UFQ65566 UOZ65566:UPM65566 UYV65566:UZI65566 VIR65566:VJE65566 VSN65566:VTA65566 WCJ65566:WCW65566 WMF65566:WMS65566 WWB65566:WWO65566 T131102:AG131102 JP131102:KC131102 TL131102:TY131102 ADH131102:ADU131102 AND131102:ANQ131102 AWZ131102:AXM131102 BGV131102:BHI131102 BQR131102:BRE131102 CAN131102:CBA131102 CKJ131102:CKW131102 CUF131102:CUS131102 DEB131102:DEO131102 DNX131102:DOK131102 DXT131102:DYG131102 EHP131102:EIC131102 ERL131102:ERY131102 FBH131102:FBU131102 FLD131102:FLQ131102 FUZ131102:FVM131102 GEV131102:GFI131102 GOR131102:GPE131102 GYN131102:GZA131102 HIJ131102:HIW131102 HSF131102:HSS131102 ICB131102:ICO131102 ILX131102:IMK131102 IVT131102:IWG131102 JFP131102:JGC131102 JPL131102:JPY131102 JZH131102:JZU131102 KJD131102:KJQ131102 KSZ131102:KTM131102 LCV131102:LDI131102 LMR131102:LNE131102 LWN131102:LXA131102 MGJ131102:MGW131102 MQF131102:MQS131102 NAB131102:NAO131102 NJX131102:NKK131102 NTT131102:NUG131102 ODP131102:OEC131102 ONL131102:ONY131102 OXH131102:OXU131102 PHD131102:PHQ131102 PQZ131102:PRM131102 QAV131102:QBI131102 QKR131102:QLE131102 QUN131102:QVA131102 REJ131102:REW131102 ROF131102:ROS131102 RYB131102:RYO131102 SHX131102:SIK131102 SRT131102:SSG131102 TBP131102:TCC131102 TLL131102:TLY131102 TVH131102:TVU131102 UFD131102:UFQ131102 UOZ131102:UPM131102 UYV131102:UZI131102 VIR131102:VJE131102 VSN131102:VTA131102 WCJ131102:WCW131102 WMF131102:WMS131102 WWB131102:WWO131102 T196638:AG196638 JP196638:KC196638 TL196638:TY196638 ADH196638:ADU196638 AND196638:ANQ196638 AWZ196638:AXM196638 BGV196638:BHI196638 BQR196638:BRE196638 CAN196638:CBA196638 CKJ196638:CKW196638 CUF196638:CUS196638 DEB196638:DEO196638 DNX196638:DOK196638 DXT196638:DYG196638 EHP196638:EIC196638 ERL196638:ERY196638 FBH196638:FBU196638 FLD196638:FLQ196638 FUZ196638:FVM196638 GEV196638:GFI196638 GOR196638:GPE196638 GYN196638:GZA196638 HIJ196638:HIW196638 HSF196638:HSS196638 ICB196638:ICO196638 ILX196638:IMK196638 IVT196638:IWG196638 JFP196638:JGC196638 JPL196638:JPY196638 JZH196638:JZU196638 KJD196638:KJQ196638 KSZ196638:KTM196638 LCV196638:LDI196638 LMR196638:LNE196638 LWN196638:LXA196638 MGJ196638:MGW196638 MQF196638:MQS196638 NAB196638:NAO196638 NJX196638:NKK196638 NTT196638:NUG196638 ODP196638:OEC196638 ONL196638:ONY196638 OXH196638:OXU196638 PHD196638:PHQ196638 PQZ196638:PRM196638 QAV196638:QBI196638 QKR196638:QLE196638 QUN196638:QVA196638 REJ196638:REW196638 ROF196638:ROS196638 RYB196638:RYO196638 SHX196638:SIK196638 SRT196638:SSG196638 TBP196638:TCC196638 TLL196638:TLY196638 TVH196638:TVU196638 UFD196638:UFQ196638 UOZ196638:UPM196638 UYV196638:UZI196638 VIR196638:VJE196638 VSN196638:VTA196638 WCJ196638:WCW196638 WMF196638:WMS196638 WWB196638:WWO196638 T262174:AG262174 JP262174:KC262174 TL262174:TY262174 ADH262174:ADU262174 AND262174:ANQ262174 AWZ262174:AXM262174 BGV262174:BHI262174 BQR262174:BRE262174 CAN262174:CBA262174 CKJ262174:CKW262174 CUF262174:CUS262174 DEB262174:DEO262174 DNX262174:DOK262174 DXT262174:DYG262174 EHP262174:EIC262174 ERL262174:ERY262174 FBH262174:FBU262174 FLD262174:FLQ262174 FUZ262174:FVM262174 GEV262174:GFI262174 GOR262174:GPE262174 GYN262174:GZA262174 HIJ262174:HIW262174 HSF262174:HSS262174 ICB262174:ICO262174 ILX262174:IMK262174 IVT262174:IWG262174 JFP262174:JGC262174 JPL262174:JPY262174 JZH262174:JZU262174 KJD262174:KJQ262174 KSZ262174:KTM262174 LCV262174:LDI262174 LMR262174:LNE262174 LWN262174:LXA262174 MGJ262174:MGW262174 MQF262174:MQS262174 NAB262174:NAO262174 NJX262174:NKK262174 NTT262174:NUG262174 ODP262174:OEC262174 ONL262174:ONY262174 OXH262174:OXU262174 PHD262174:PHQ262174 PQZ262174:PRM262174 QAV262174:QBI262174 QKR262174:QLE262174 QUN262174:QVA262174 REJ262174:REW262174 ROF262174:ROS262174 RYB262174:RYO262174 SHX262174:SIK262174 SRT262174:SSG262174 TBP262174:TCC262174 TLL262174:TLY262174 TVH262174:TVU262174 UFD262174:UFQ262174 UOZ262174:UPM262174 UYV262174:UZI262174 VIR262174:VJE262174 VSN262174:VTA262174 WCJ262174:WCW262174 WMF262174:WMS262174 WWB262174:WWO262174 T327710:AG327710 JP327710:KC327710 TL327710:TY327710 ADH327710:ADU327710 AND327710:ANQ327710 AWZ327710:AXM327710 BGV327710:BHI327710 BQR327710:BRE327710 CAN327710:CBA327710 CKJ327710:CKW327710 CUF327710:CUS327710 DEB327710:DEO327710 DNX327710:DOK327710 DXT327710:DYG327710 EHP327710:EIC327710 ERL327710:ERY327710 FBH327710:FBU327710 FLD327710:FLQ327710 FUZ327710:FVM327710 GEV327710:GFI327710 GOR327710:GPE327710 GYN327710:GZA327710 HIJ327710:HIW327710 HSF327710:HSS327710 ICB327710:ICO327710 ILX327710:IMK327710 IVT327710:IWG327710 JFP327710:JGC327710 JPL327710:JPY327710 JZH327710:JZU327710 KJD327710:KJQ327710 KSZ327710:KTM327710 LCV327710:LDI327710 LMR327710:LNE327710 LWN327710:LXA327710 MGJ327710:MGW327710 MQF327710:MQS327710 NAB327710:NAO327710 NJX327710:NKK327710 NTT327710:NUG327710 ODP327710:OEC327710 ONL327710:ONY327710 OXH327710:OXU327710 PHD327710:PHQ327710 PQZ327710:PRM327710 QAV327710:QBI327710 QKR327710:QLE327710 QUN327710:QVA327710 REJ327710:REW327710 ROF327710:ROS327710 RYB327710:RYO327710 SHX327710:SIK327710 SRT327710:SSG327710 TBP327710:TCC327710 TLL327710:TLY327710 TVH327710:TVU327710 UFD327710:UFQ327710 UOZ327710:UPM327710 UYV327710:UZI327710 VIR327710:VJE327710 VSN327710:VTA327710 WCJ327710:WCW327710 WMF327710:WMS327710 WWB327710:WWO327710 T393246:AG393246 JP393246:KC393246 TL393246:TY393246 ADH393246:ADU393246 AND393246:ANQ393246 AWZ393246:AXM393246 BGV393246:BHI393246 BQR393246:BRE393246 CAN393246:CBA393246 CKJ393246:CKW393246 CUF393246:CUS393246 DEB393246:DEO393246 DNX393246:DOK393246 DXT393246:DYG393246 EHP393246:EIC393246 ERL393246:ERY393246 FBH393246:FBU393246 FLD393246:FLQ393246 FUZ393246:FVM393246 GEV393246:GFI393246 GOR393246:GPE393246 GYN393246:GZA393246 HIJ393246:HIW393246 HSF393246:HSS393246 ICB393246:ICO393246 ILX393246:IMK393246 IVT393246:IWG393246 JFP393246:JGC393246 JPL393246:JPY393246 JZH393246:JZU393246 KJD393246:KJQ393246 KSZ393246:KTM393246 LCV393246:LDI393246 LMR393246:LNE393246 LWN393246:LXA393246 MGJ393246:MGW393246 MQF393246:MQS393246 NAB393246:NAO393246 NJX393246:NKK393246 NTT393246:NUG393246 ODP393246:OEC393246 ONL393246:ONY393246 OXH393246:OXU393246 PHD393246:PHQ393246 PQZ393246:PRM393246 QAV393246:QBI393246 QKR393246:QLE393246 QUN393246:QVA393246 REJ393246:REW393246 ROF393246:ROS393246 RYB393246:RYO393246 SHX393246:SIK393246 SRT393246:SSG393246 TBP393246:TCC393246 TLL393246:TLY393246 TVH393246:TVU393246 UFD393246:UFQ393246 UOZ393246:UPM393246 UYV393246:UZI393246 VIR393246:VJE393246 VSN393246:VTA393246 WCJ393246:WCW393246 WMF393246:WMS393246 WWB393246:WWO393246 T458782:AG458782 JP458782:KC458782 TL458782:TY458782 ADH458782:ADU458782 AND458782:ANQ458782 AWZ458782:AXM458782 BGV458782:BHI458782 BQR458782:BRE458782 CAN458782:CBA458782 CKJ458782:CKW458782 CUF458782:CUS458782 DEB458782:DEO458782 DNX458782:DOK458782 DXT458782:DYG458782 EHP458782:EIC458782 ERL458782:ERY458782 FBH458782:FBU458782 FLD458782:FLQ458782 FUZ458782:FVM458782 GEV458782:GFI458782 GOR458782:GPE458782 GYN458782:GZA458782 HIJ458782:HIW458782 HSF458782:HSS458782 ICB458782:ICO458782 ILX458782:IMK458782 IVT458782:IWG458782 JFP458782:JGC458782 JPL458782:JPY458782 JZH458782:JZU458782 KJD458782:KJQ458782 KSZ458782:KTM458782 LCV458782:LDI458782 LMR458782:LNE458782 LWN458782:LXA458782 MGJ458782:MGW458782 MQF458782:MQS458782 NAB458782:NAO458782 NJX458782:NKK458782 NTT458782:NUG458782 ODP458782:OEC458782 ONL458782:ONY458782 OXH458782:OXU458782 PHD458782:PHQ458782 PQZ458782:PRM458782 QAV458782:QBI458782 QKR458782:QLE458782 QUN458782:QVA458782 REJ458782:REW458782 ROF458782:ROS458782 RYB458782:RYO458782 SHX458782:SIK458782 SRT458782:SSG458782 TBP458782:TCC458782 TLL458782:TLY458782 TVH458782:TVU458782 UFD458782:UFQ458782 UOZ458782:UPM458782 UYV458782:UZI458782 VIR458782:VJE458782 VSN458782:VTA458782 WCJ458782:WCW458782 WMF458782:WMS458782 WWB458782:WWO458782 T524318:AG524318 JP524318:KC524318 TL524318:TY524318 ADH524318:ADU524318 AND524318:ANQ524318 AWZ524318:AXM524318 BGV524318:BHI524318 BQR524318:BRE524318 CAN524318:CBA524318 CKJ524318:CKW524318 CUF524318:CUS524318 DEB524318:DEO524318 DNX524318:DOK524318 DXT524318:DYG524318 EHP524318:EIC524318 ERL524318:ERY524318 FBH524318:FBU524318 FLD524318:FLQ524318 FUZ524318:FVM524318 GEV524318:GFI524318 GOR524318:GPE524318 GYN524318:GZA524318 HIJ524318:HIW524318 HSF524318:HSS524318 ICB524318:ICO524318 ILX524318:IMK524318 IVT524318:IWG524318 JFP524318:JGC524318 JPL524318:JPY524318 JZH524318:JZU524318 KJD524318:KJQ524318 KSZ524318:KTM524318 LCV524318:LDI524318 LMR524318:LNE524318 LWN524318:LXA524318 MGJ524318:MGW524318 MQF524318:MQS524318 NAB524318:NAO524318 NJX524318:NKK524318 NTT524318:NUG524318 ODP524318:OEC524318 ONL524318:ONY524318 OXH524318:OXU524318 PHD524318:PHQ524318 PQZ524318:PRM524318 QAV524318:QBI524318 QKR524318:QLE524318 QUN524318:QVA524318 REJ524318:REW524318 ROF524318:ROS524318 RYB524318:RYO524318 SHX524318:SIK524318 SRT524318:SSG524318 TBP524318:TCC524318 TLL524318:TLY524318 TVH524318:TVU524318 UFD524318:UFQ524318 UOZ524318:UPM524318 UYV524318:UZI524318 VIR524318:VJE524318 VSN524318:VTA524318 WCJ524318:WCW524318 WMF524318:WMS524318 WWB524318:WWO524318 T589854:AG589854 JP589854:KC589854 TL589854:TY589854 ADH589854:ADU589854 AND589854:ANQ589854 AWZ589854:AXM589854 BGV589854:BHI589854 BQR589854:BRE589854 CAN589854:CBA589854 CKJ589854:CKW589854 CUF589854:CUS589854 DEB589854:DEO589854 DNX589854:DOK589854 DXT589854:DYG589854 EHP589854:EIC589854 ERL589854:ERY589854 FBH589854:FBU589854 FLD589854:FLQ589854 FUZ589854:FVM589854 GEV589854:GFI589854 GOR589854:GPE589854 GYN589854:GZA589854 HIJ589854:HIW589854 HSF589854:HSS589854 ICB589854:ICO589854 ILX589854:IMK589854 IVT589854:IWG589854 JFP589854:JGC589854 JPL589854:JPY589854 JZH589854:JZU589854 KJD589854:KJQ589854 KSZ589854:KTM589854 LCV589854:LDI589854 LMR589854:LNE589854 LWN589854:LXA589854 MGJ589854:MGW589854 MQF589854:MQS589854 NAB589854:NAO589854 NJX589854:NKK589854 NTT589854:NUG589854 ODP589854:OEC589854 ONL589854:ONY589854 OXH589854:OXU589854 PHD589854:PHQ589854 PQZ589854:PRM589854 QAV589854:QBI589854 QKR589854:QLE589854 QUN589854:QVA589854 REJ589854:REW589854 ROF589854:ROS589854 RYB589854:RYO589854 SHX589854:SIK589854 SRT589854:SSG589854 TBP589854:TCC589854 TLL589854:TLY589854 TVH589854:TVU589854 UFD589854:UFQ589854 UOZ589854:UPM589854 UYV589854:UZI589854 VIR589854:VJE589854 VSN589854:VTA589854 WCJ589854:WCW589854 WMF589854:WMS589854 WWB589854:WWO589854 T655390:AG655390 JP655390:KC655390 TL655390:TY655390 ADH655390:ADU655390 AND655390:ANQ655390 AWZ655390:AXM655390 BGV655390:BHI655390 BQR655390:BRE655390 CAN655390:CBA655390 CKJ655390:CKW655390 CUF655390:CUS655390 DEB655390:DEO655390 DNX655390:DOK655390 DXT655390:DYG655390 EHP655390:EIC655390 ERL655390:ERY655390 FBH655390:FBU655390 FLD655390:FLQ655390 FUZ655390:FVM655390 GEV655390:GFI655390 GOR655390:GPE655390 GYN655390:GZA655390 HIJ655390:HIW655390 HSF655390:HSS655390 ICB655390:ICO655390 ILX655390:IMK655390 IVT655390:IWG655390 JFP655390:JGC655390 JPL655390:JPY655390 JZH655390:JZU655390 KJD655390:KJQ655390 KSZ655390:KTM655390 LCV655390:LDI655390 LMR655390:LNE655390 LWN655390:LXA655390 MGJ655390:MGW655390 MQF655390:MQS655390 NAB655390:NAO655390 NJX655390:NKK655390 NTT655390:NUG655390 ODP655390:OEC655390 ONL655390:ONY655390 OXH655390:OXU655390 PHD655390:PHQ655390 PQZ655390:PRM655390 QAV655390:QBI655390 QKR655390:QLE655390 QUN655390:QVA655390 REJ655390:REW655390 ROF655390:ROS655390 RYB655390:RYO655390 SHX655390:SIK655390 SRT655390:SSG655390 TBP655390:TCC655390 TLL655390:TLY655390 TVH655390:TVU655390 UFD655390:UFQ655390 UOZ655390:UPM655390 UYV655390:UZI655390 VIR655390:VJE655390 VSN655390:VTA655390 WCJ655390:WCW655390 WMF655390:WMS655390 WWB655390:WWO655390 T720926:AG720926 JP720926:KC720926 TL720926:TY720926 ADH720926:ADU720926 AND720926:ANQ720926 AWZ720926:AXM720926 BGV720926:BHI720926 BQR720926:BRE720926 CAN720926:CBA720926 CKJ720926:CKW720926 CUF720926:CUS720926 DEB720926:DEO720926 DNX720926:DOK720926 DXT720926:DYG720926 EHP720926:EIC720926 ERL720926:ERY720926 FBH720926:FBU720926 FLD720926:FLQ720926 FUZ720926:FVM720926 GEV720926:GFI720926 GOR720926:GPE720926 GYN720926:GZA720926 HIJ720926:HIW720926 HSF720926:HSS720926 ICB720926:ICO720926 ILX720926:IMK720926 IVT720926:IWG720926 JFP720926:JGC720926 JPL720926:JPY720926 JZH720926:JZU720926 KJD720926:KJQ720926 KSZ720926:KTM720926 LCV720926:LDI720926 LMR720926:LNE720926 LWN720926:LXA720926 MGJ720926:MGW720926 MQF720926:MQS720926 NAB720926:NAO720926 NJX720926:NKK720926 NTT720926:NUG720926 ODP720926:OEC720926 ONL720926:ONY720926 OXH720926:OXU720926 PHD720926:PHQ720926 PQZ720926:PRM720926 QAV720926:QBI720926 QKR720926:QLE720926 QUN720926:QVA720926 REJ720926:REW720926 ROF720926:ROS720926 RYB720926:RYO720926 SHX720926:SIK720926 SRT720926:SSG720926 TBP720926:TCC720926 TLL720926:TLY720926 TVH720926:TVU720926 UFD720926:UFQ720926 UOZ720926:UPM720926 UYV720926:UZI720926 VIR720926:VJE720926 VSN720926:VTA720926 WCJ720926:WCW720926 WMF720926:WMS720926 WWB720926:WWO720926 T786462:AG786462 JP786462:KC786462 TL786462:TY786462 ADH786462:ADU786462 AND786462:ANQ786462 AWZ786462:AXM786462 BGV786462:BHI786462 BQR786462:BRE786462 CAN786462:CBA786462 CKJ786462:CKW786462 CUF786462:CUS786462 DEB786462:DEO786462 DNX786462:DOK786462 DXT786462:DYG786462 EHP786462:EIC786462 ERL786462:ERY786462 FBH786462:FBU786462 FLD786462:FLQ786462 FUZ786462:FVM786462 GEV786462:GFI786462 GOR786462:GPE786462 GYN786462:GZA786462 HIJ786462:HIW786462 HSF786462:HSS786462 ICB786462:ICO786462 ILX786462:IMK786462 IVT786462:IWG786462 JFP786462:JGC786462 JPL786462:JPY786462 JZH786462:JZU786462 KJD786462:KJQ786462 KSZ786462:KTM786462 LCV786462:LDI786462 LMR786462:LNE786462 LWN786462:LXA786462 MGJ786462:MGW786462 MQF786462:MQS786462 NAB786462:NAO786462 NJX786462:NKK786462 NTT786462:NUG786462 ODP786462:OEC786462 ONL786462:ONY786462 OXH786462:OXU786462 PHD786462:PHQ786462 PQZ786462:PRM786462 QAV786462:QBI786462 QKR786462:QLE786462 QUN786462:QVA786462 REJ786462:REW786462 ROF786462:ROS786462 RYB786462:RYO786462 SHX786462:SIK786462 SRT786462:SSG786462 TBP786462:TCC786462 TLL786462:TLY786462 TVH786462:TVU786462 UFD786462:UFQ786462 UOZ786462:UPM786462 UYV786462:UZI786462 VIR786462:VJE786462 VSN786462:VTA786462 WCJ786462:WCW786462 WMF786462:WMS786462 WWB786462:WWO786462 T851998:AG851998 JP851998:KC851998 TL851998:TY851998 ADH851998:ADU851998 AND851998:ANQ851998 AWZ851998:AXM851998 BGV851998:BHI851998 BQR851998:BRE851998 CAN851998:CBA851998 CKJ851998:CKW851998 CUF851998:CUS851998 DEB851998:DEO851998 DNX851998:DOK851998 DXT851998:DYG851998 EHP851998:EIC851998 ERL851998:ERY851998 FBH851998:FBU851998 FLD851998:FLQ851998 FUZ851998:FVM851998 GEV851998:GFI851998 GOR851998:GPE851998 GYN851998:GZA851998 HIJ851998:HIW851998 HSF851998:HSS851998 ICB851998:ICO851998 ILX851998:IMK851998 IVT851998:IWG851998 JFP851998:JGC851998 JPL851998:JPY851998 JZH851998:JZU851998 KJD851998:KJQ851998 KSZ851998:KTM851998 LCV851998:LDI851998 LMR851998:LNE851998 LWN851998:LXA851998 MGJ851998:MGW851998 MQF851998:MQS851998 NAB851998:NAO851998 NJX851998:NKK851998 NTT851998:NUG851998 ODP851998:OEC851998 ONL851998:ONY851998 OXH851998:OXU851998 PHD851998:PHQ851998 PQZ851998:PRM851998 QAV851998:QBI851998 QKR851998:QLE851998 QUN851998:QVA851998 REJ851998:REW851998 ROF851998:ROS851998 RYB851998:RYO851998 SHX851998:SIK851998 SRT851998:SSG851998 TBP851998:TCC851998 TLL851998:TLY851998 TVH851998:TVU851998 UFD851998:UFQ851998 UOZ851998:UPM851998 UYV851998:UZI851998 VIR851998:VJE851998 VSN851998:VTA851998 WCJ851998:WCW851998 WMF851998:WMS851998 WWB851998:WWO851998 T917534:AG917534 JP917534:KC917534 TL917534:TY917534 ADH917534:ADU917534 AND917534:ANQ917534 AWZ917534:AXM917534 BGV917534:BHI917534 BQR917534:BRE917534 CAN917534:CBA917534 CKJ917534:CKW917534 CUF917534:CUS917534 DEB917534:DEO917534 DNX917534:DOK917534 DXT917534:DYG917534 EHP917534:EIC917534 ERL917534:ERY917534 FBH917534:FBU917534 FLD917534:FLQ917534 FUZ917534:FVM917534 GEV917534:GFI917534 GOR917534:GPE917534 GYN917534:GZA917534 HIJ917534:HIW917534 HSF917534:HSS917534 ICB917534:ICO917534 ILX917534:IMK917534 IVT917534:IWG917534 JFP917534:JGC917534 JPL917534:JPY917534 JZH917534:JZU917534 KJD917534:KJQ917534 KSZ917534:KTM917534 LCV917534:LDI917534 LMR917534:LNE917534 LWN917534:LXA917534 MGJ917534:MGW917534 MQF917534:MQS917534 NAB917534:NAO917534 NJX917534:NKK917534 NTT917534:NUG917534 ODP917534:OEC917534 ONL917534:ONY917534 OXH917534:OXU917534 PHD917534:PHQ917534 PQZ917534:PRM917534 QAV917534:QBI917534 QKR917534:QLE917534 QUN917534:QVA917534 REJ917534:REW917534 ROF917534:ROS917534 RYB917534:RYO917534 SHX917534:SIK917534 SRT917534:SSG917534 TBP917534:TCC917534 TLL917534:TLY917534 TVH917534:TVU917534 UFD917534:UFQ917534 UOZ917534:UPM917534 UYV917534:UZI917534 VIR917534:VJE917534 VSN917534:VTA917534 WCJ917534:WCW917534 WMF917534:WMS917534 WWB917534:WWO917534 T983070:AG983070 JP983070:KC983070 TL983070:TY983070 ADH983070:ADU983070 AND983070:ANQ983070 AWZ983070:AXM983070 BGV983070:BHI983070 BQR983070:BRE983070 CAN983070:CBA983070 CKJ983070:CKW983070 CUF983070:CUS983070 DEB983070:DEO983070 DNX983070:DOK983070 DXT983070:DYG983070 EHP983070:EIC983070 ERL983070:ERY983070 FBH983070:FBU983070 FLD983070:FLQ983070 FUZ983070:FVM983070 GEV983070:GFI983070 GOR983070:GPE983070 GYN983070:GZA983070 HIJ983070:HIW983070 HSF983070:HSS983070 ICB983070:ICO983070 ILX983070:IMK983070 IVT983070:IWG983070 JFP983070:JGC983070 JPL983070:JPY983070 JZH983070:JZU983070 KJD983070:KJQ983070 KSZ983070:KTM983070 LCV983070:LDI983070 LMR983070:LNE983070 LWN983070:LXA983070 MGJ983070:MGW983070 MQF983070:MQS983070 NAB983070:NAO983070 NJX983070:NKK983070 NTT983070:NUG983070 ODP983070:OEC983070 ONL983070:ONY983070 OXH983070:OXU983070 PHD983070:PHQ983070 PQZ983070:PRM983070 QAV983070:QBI983070 QKR983070:QLE983070 QUN983070:QVA983070 REJ983070:REW983070 ROF983070:ROS983070 RYB983070:RYO983070 SHX983070:SIK983070 SRT983070:SSG983070 TBP983070:TCC983070 TLL983070:TLY983070 TVH983070:TVU983070 UFD983070:UFQ983070 UOZ983070:UPM983070 UYV983070:UZI983070 VIR983070:VJE983070 VSN983070:VTA983070 WCJ983070:WCW983070 WMF983070:WMS983070 WWB983070:WWO983070 A20:A22 IW20:IW22 SS20:SS22 ACO20:ACO22 AMK20:AMK22 AWG20:AWG22 BGC20:BGC22 BPY20:BPY22 BZU20:BZU22 CJQ20:CJQ22 CTM20:CTM22 DDI20:DDI22 DNE20:DNE22 DXA20:DXA22 EGW20:EGW22 EQS20:EQS22 FAO20:FAO22 FKK20:FKK22 FUG20:FUG22 GEC20:GEC22 GNY20:GNY22 GXU20:GXU22 HHQ20:HHQ22 HRM20:HRM22 IBI20:IBI22 ILE20:ILE22 IVA20:IVA22 JEW20:JEW22 JOS20:JOS22 JYO20:JYO22 KIK20:KIK22 KSG20:KSG22 LCC20:LCC22 LLY20:LLY22 LVU20:LVU22 MFQ20:MFQ22 MPM20:MPM22 MZI20:MZI22 NJE20:NJE22 NTA20:NTA22 OCW20:OCW22 OMS20:OMS22 OWO20:OWO22 PGK20:PGK22 PQG20:PQG22 QAC20:QAC22 QJY20:QJY22 QTU20:QTU22 RDQ20:RDQ22 RNM20:RNM22 RXI20:RXI22 SHE20:SHE22 SRA20:SRA22 TAW20:TAW22 TKS20:TKS22 TUO20:TUO22 UEK20:UEK22 UOG20:UOG22 UYC20:UYC22 VHY20:VHY22 VRU20:VRU22 WBQ20:WBQ22 WLM20:WLM22 WVI20:WVI22 A65556:A65558 IW65556:IW65558 SS65556:SS65558 ACO65556:ACO65558 AMK65556:AMK65558 AWG65556:AWG65558 BGC65556:BGC65558 BPY65556:BPY65558 BZU65556:BZU65558 CJQ65556:CJQ65558 CTM65556:CTM65558 DDI65556:DDI65558 DNE65556:DNE65558 DXA65556:DXA65558 EGW65556:EGW65558 EQS65556:EQS65558 FAO65556:FAO65558 FKK65556:FKK65558 FUG65556:FUG65558 GEC65556:GEC65558 GNY65556:GNY65558 GXU65556:GXU65558 HHQ65556:HHQ65558 HRM65556:HRM65558 IBI65556:IBI65558 ILE65556:ILE65558 IVA65556:IVA65558 JEW65556:JEW65558 JOS65556:JOS65558 JYO65556:JYO65558 KIK65556:KIK65558 KSG65556:KSG65558 LCC65556:LCC65558 LLY65556:LLY65558 LVU65556:LVU65558 MFQ65556:MFQ65558 MPM65556:MPM65558 MZI65556:MZI65558 NJE65556:NJE65558 NTA65556:NTA65558 OCW65556:OCW65558 OMS65556:OMS65558 OWO65556:OWO65558 PGK65556:PGK65558 PQG65556:PQG65558 QAC65556:QAC65558 QJY65556:QJY65558 QTU65556:QTU65558 RDQ65556:RDQ65558 RNM65556:RNM65558 RXI65556:RXI65558 SHE65556:SHE65558 SRA65556:SRA65558 TAW65556:TAW65558 TKS65556:TKS65558 TUO65556:TUO65558 UEK65556:UEK65558 UOG65556:UOG65558 UYC65556:UYC65558 VHY65556:VHY65558 VRU65556:VRU65558 WBQ65556:WBQ65558 WLM65556:WLM65558 WVI65556:WVI65558 A131092:A131094 IW131092:IW131094 SS131092:SS131094 ACO131092:ACO131094 AMK131092:AMK131094 AWG131092:AWG131094 BGC131092:BGC131094 BPY131092:BPY131094 BZU131092:BZU131094 CJQ131092:CJQ131094 CTM131092:CTM131094 DDI131092:DDI131094 DNE131092:DNE131094 DXA131092:DXA131094 EGW131092:EGW131094 EQS131092:EQS131094 FAO131092:FAO131094 FKK131092:FKK131094 FUG131092:FUG131094 GEC131092:GEC131094 GNY131092:GNY131094 GXU131092:GXU131094 HHQ131092:HHQ131094 HRM131092:HRM131094 IBI131092:IBI131094 ILE131092:ILE131094 IVA131092:IVA131094 JEW131092:JEW131094 JOS131092:JOS131094 JYO131092:JYO131094 KIK131092:KIK131094 KSG131092:KSG131094 LCC131092:LCC131094 LLY131092:LLY131094 LVU131092:LVU131094 MFQ131092:MFQ131094 MPM131092:MPM131094 MZI131092:MZI131094 NJE131092:NJE131094 NTA131092:NTA131094 OCW131092:OCW131094 OMS131092:OMS131094 OWO131092:OWO131094 PGK131092:PGK131094 PQG131092:PQG131094 QAC131092:QAC131094 QJY131092:QJY131094 QTU131092:QTU131094 RDQ131092:RDQ131094 RNM131092:RNM131094 RXI131092:RXI131094 SHE131092:SHE131094 SRA131092:SRA131094 TAW131092:TAW131094 TKS131092:TKS131094 TUO131092:TUO131094 UEK131092:UEK131094 UOG131092:UOG131094 UYC131092:UYC131094 VHY131092:VHY131094 VRU131092:VRU131094 WBQ131092:WBQ131094 WLM131092:WLM131094 WVI131092:WVI131094 A196628:A196630 IW196628:IW196630 SS196628:SS196630 ACO196628:ACO196630 AMK196628:AMK196630 AWG196628:AWG196630 BGC196628:BGC196630 BPY196628:BPY196630 BZU196628:BZU196630 CJQ196628:CJQ196630 CTM196628:CTM196630 DDI196628:DDI196630 DNE196628:DNE196630 DXA196628:DXA196630 EGW196628:EGW196630 EQS196628:EQS196630 FAO196628:FAO196630 FKK196628:FKK196630 FUG196628:FUG196630 GEC196628:GEC196630 GNY196628:GNY196630 GXU196628:GXU196630 HHQ196628:HHQ196630 HRM196628:HRM196630 IBI196628:IBI196630 ILE196628:ILE196630 IVA196628:IVA196630 JEW196628:JEW196630 JOS196628:JOS196630 JYO196628:JYO196630 KIK196628:KIK196630 KSG196628:KSG196630 LCC196628:LCC196630 LLY196628:LLY196630 LVU196628:LVU196630 MFQ196628:MFQ196630 MPM196628:MPM196630 MZI196628:MZI196630 NJE196628:NJE196630 NTA196628:NTA196630 OCW196628:OCW196630 OMS196628:OMS196630 OWO196628:OWO196630 PGK196628:PGK196630 PQG196628:PQG196630 QAC196628:QAC196630 QJY196628:QJY196630 QTU196628:QTU196630 RDQ196628:RDQ196630 RNM196628:RNM196630 RXI196628:RXI196630 SHE196628:SHE196630 SRA196628:SRA196630 TAW196628:TAW196630 TKS196628:TKS196630 TUO196628:TUO196630 UEK196628:UEK196630 UOG196628:UOG196630 UYC196628:UYC196630 VHY196628:VHY196630 VRU196628:VRU196630 WBQ196628:WBQ196630 WLM196628:WLM196630 WVI196628:WVI196630 A262164:A262166 IW262164:IW262166 SS262164:SS262166 ACO262164:ACO262166 AMK262164:AMK262166 AWG262164:AWG262166 BGC262164:BGC262166 BPY262164:BPY262166 BZU262164:BZU262166 CJQ262164:CJQ262166 CTM262164:CTM262166 DDI262164:DDI262166 DNE262164:DNE262166 DXA262164:DXA262166 EGW262164:EGW262166 EQS262164:EQS262166 FAO262164:FAO262166 FKK262164:FKK262166 FUG262164:FUG262166 GEC262164:GEC262166 GNY262164:GNY262166 GXU262164:GXU262166 HHQ262164:HHQ262166 HRM262164:HRM262166 IBI262164:IBI262166 ILE262164:ILE262166 IVA262164:IVA262166 JEW262164:JEW262166 JOS262164:JOS262166 JYO262164:JYO262166 KIK262164:KIK262166 KSG262164:KSG262166 LCC262164:LCC262166 LLY262164:LLY262166 LVU262164:LVU262166 MFQ262164:MFQ262166 MPM262164:MPM262166 MZI262164:MZI262166 NJE262164:NJE262166 NTA262164:NTA262166 OCW262164:OCW262166 OMS262164:OMS262166 OWO262164:OWO262166 PGK262164:PGK262166 PQG262164:PQG262166 QAC262164:QAC262166 QJY262164:QJY262166 QTU262164:QTU262166 RDQ262164:RDQ262166 RNM262164:RNM262166 RXI262164:RXI262166 SHE262164:SHE262166 SRA262164:SRA262166 TAW262164:TAW262166 TKS262164:TKS262166 TUO262164:TUO262166 UEK262164:UEK262166 UOG262164:UOG262166 UYC262164:UYC262166 VHY262164:VHY262166 VRU262164:VRU262166 WBQ262164:WBQ262166 WLM262164:WLM262166 WVI262164:WVI262166 A327700:A327702 IW327700:IW327702 SS327700:SS327702 ACO327700:ACO327702 AMK327700:AMK327702 AWG327700:AWG327702 BGC327700:BGC327702 BPY327700:BPY327702 BZU327700:BZU327702 CJQ327700:CJQ327702 CTM327700:CTM327702 DDI327700:DDI327702 DNE327700:DNE327702 DXA327700:DXA327702 EGW327700:EGW327702 EQS327700:EQS327702 FAO327700:FAO327702 FKK327700:FKK327702 FUG327700:FUG327702 GEC327700:GEC327702 GNY327700:GNY327702 GXU327700:GXU327702 HHQ327700:HHQ327702 HRM327700:HRM327702 IBI327700:IBI327702 ILE327700:ILE327702 IVA327700:IVA327702 JEW327700:JEW327702 JOS327700:JOS327702 JYO327700:JYO327702 KIK327700:KIK327702 KSG327700:KSG327702 LCC327700:LCC327702 LLY327700:LLY327702 LVU327700:LVU327702 MFQ327700:MFQ327702 MPM327700:MPM327702 MZI327700:MZI327702 NJE327700:NJE327702 NTA327700:NTA327702 OCW327700:OCW327702 OMS327700:OMS327702 OWO327700:OWO327702 PGK327700:PGK327702 PQG327700:PQG327702 QAC327700:QAC327702 QJY327700:QJY327702 QTU327700:QTU327702 RDQ327700:RDQ327702 RNM327700:RNM327702 RXI327700:RXI327702 SHE327700:SHE327702 SRA327700:SRA327702 TAW327700:TAW327702 TKS327700:TKS327702 TUO327700:TUO327702 UEK327700:UEK327702 UOG327700:UOG327702 UYC327700:UYC327702 VHY327700:VHY327702 VRU327700:VRU327702 WBQ327700:WBQ327702 WLM327700:WLM327702 WVI327700:WVI327702 A393236:A393238 IW393236:IW393238 SS393236:SS393238 ACO393236:ACO393238 AMK393236:AMK393238 AWG393236:AWG393238 BGC393236:BGC393238 BPY393236:BPY393238 BZU393236:BZU393238 CJQ393236:CJQ393238 CTM393236:CTM393238 DDI393236:DDI393238 DNE393236:DNE393238 DXA393236:DXA393238 EGW393236:EGW393238 EQS393236:EQS393238 FAO393236:FAO393238 FKK393236:FKK393238 FUG393236:FUG393238 GEC393236:GEC393238 GNY393236:GNY393238 GXU393236:GXU393238 HHQ393236:HHQ393238 HRM393236:HRM393238 IBI393236:IBI393238 ILE393236:ILE393238 IVA393236:IVA393238 JEW393236:JEW393238 JOS393236:JOS393238 JYO393236:JYO393238 KIK393236:KIK393238 KSG393236:KSG393238 LCC393236:LCC393238 LLY393236:LLY393238 LVU393236:LVU393238 MFQ393236:MFQ393238 MPM393236:MPM393238 MZI393236:MZI393238 NJE393236:NJE393238 NTA393236:NTA393238 OCW393236:OCW393238 OMS393236:OMS393238 OWO393236:OWO393238 PGK393236:PGK393238 PQG393236:PQG393238 QAC393236:QAC393238 QJY393236:QJY393238 QTU393236:QTU393238 RDQ393236:RDQ393238 RNM393236:RNM393238 RXI393236:RXI393238 SHE393236:SHE393238 SRA393236:SRA393238 TAW393236:TAW393238 TKS393236:TKS393238 TUO393236:TUO393238 UEK393236:UEK393238 UOG393236:UOG393238 UYC393236:UYC393238 VHY393236:VHY393238 VRU393236:VRU393238 WBQ393236:WBQ393238 WLM393236:WLM393238 WVI393236:WVI393238 A458772:A458774 IW458772:IW458774 SS458772:SS458774 ACO458772:ACO458774 AMK458772:AMK458774 AWG458772:AWG458774 BGC458772:BGC458774 BPY458772:BPY458774 BZU458772:BZU458774 CJQ458772:CJQ458774 CTM458772:CTM458774 DDI458772:DDI458774 DNE458772:DNE458774 DXA458772:DXA458774 EGW458772:EGW458774 EQS458772:EQS458774 FAO458772:FAO458774 FKK458772:FKK458774 FUG458772:FUG458774 GEC458772:GEC458774 GNY458772:GNY458774 GXU458772:GXU458774 HHQ458772:HHQ458774 HRM458772:HRM458774 IBI458772:IBI458774 ILE458772:ILE458774 IVA458772:IVA458774 JEW458772:JEW458774 JOS458772:JOS458774 JYO458772:JYO458774 KIK458772:KIK458774 KSG458772:KSG458774 LCC458772:LCC458774 LLY458772:LLY458774 LVU458772:LVU458774 MFQ458772:MFQ458774 MPM458772:MPM458774 MZI458772:MZI458774 NJE458772:NJE458774 NTA458772:NTA458774 OCW458772:OCW458774 OMS458772:OMS458774 OWO458772:OWO458774 PGK458772:PGK458774 PQG458772:PQG458774 QAC458772:QAC458774 QJY458772:QJY458774 QTU458772:QTU458774 RDQ458772:RDQ458774 RNM458772:RNM458774 RXI458772:RXI458774 SHE458772:SHE458774 SRA458772:SRA458774 TAW458772:TAW458774 TKS458772:TKS458774 TUO458772:TUO458774 UEK458772:UEK458774 UOG458772:UOG458774 UYC458772:UYC458774 VHY458772:VHY458774 VRU458772:VRU458774 WBQ458772:WBQ458774 WLM458772:WLM458774 WVI458772:WVI458774 A524308:A524310 IW524308:IW524310 SS524308:SS524310 ACO524308:ACO524310 AMK524308:AMK524310 AWG524308:AWG524310 BGC524308:BGC524310 BPY524308:BPY524310 BZU524308:BZU524310 CJQ524308:CJQ524310 CTM524308:CTM524310 DDI524308:DDI524310 DNE524308:DNE524310 DXA524308:DXA524310 EGW524308:EGW524310 EQS524308:EQS524310 FAO524308:FAO524310 FKK524308:FKK524310 FUG524308:FUG524310 GEC524308:GEC524310 GNY524308:GNY524310 GXU524308:GXU524310 HHQ524308:HHQ524310 HRM524308:HRM524310 IBI524308:IBI524310 ILE524308:ILE524310 IVA524308:IVA524310 JEW524308:JEW524310 JOS524308:JOS524310 JYO524308:JYO524310 KIK524308:KIK524310 KSG524308:KSG524310 LCC524308:LCC524310 LLY524308:LLY524310 LVU524308:LVU524310 MFQ524308:MFQ524310 MPM524308:MPM524310 MZI524308:MZI524310 NJE524308:NJE524310 NTA524308:NTA524310 OCW524308:OCW524310 OMS524308:OMS524310 OWO524308:OWO524310 PGK524308:PGK524310 PQG524308:PQG524310 QAC524308:QAC524310 QJY524308:QJY524310 QTU524308:QTU524310 RDQ524308:RDQ524310 RNM524308:RNM524310 RXI524308:RXI524310 SHE524308:SHE524310 SRA524308:SRA524310 TAW524308:TAW524310 TKS524308:TKS524310 TUO524308:TUO524310 UEK524308:UEK524310 UOG524308:UOG524310 UYC524308:UYC524310 VHY524308:VHY524310 VRU524308:VRU524310 WBQ524308:WBQ524310 WLM524308:WLM524310 WVI524308:WVI524310 A589844:A589846 IW589844:IW589846 SS589844:SS589846 ACO589844:ACO589846 AMK589844:AMK589846 AWG589844:AWG589846 BGC589844:BGC589846 BPY589844:BPY589846 BZU589844:BZU589846 CJQ589844:CJQ589846 CTM589844:CTM589846 DDI589844:DDI589846 DNE589844:DNE589846 DXA589844:DXA589846 EGW589844:EGW589846 EQS589844:EQS589846 FAO589844:FAO589846 FKK589844:FKK589846 FUG589844:FUG589846 GEC589844:GEC589846 GNY589844:GNY589846 GXU589844:GXU589846 HHQ589844:HHQ589846 HRM589844:HRM589846 IBI589844:IBI589846 ILE589844:ILE589846 IVA589844:IVA589846 JEW589844:JEW589846 JOS589844:JOS589846 JYO589844:JYO589846 KIK589844:KIK589846 KSG589844:KSG589846 LCC589844:LCC589846 LLY589844:LLY589846 LVU589844:LVU589846 MFQ589844:MFQ589846 MPM589844:MPM589846 MZI589844:MZI589846 NJE589844:NJE589846 NTA589844:NTA589846 OCW589844:OCW589846 OMS589844:OMS589846 OWO589844:OWO589846 PGK589844:PGK589846 PQG589844:PQG589846 QAC589844:QAC589846 QJY589844:QJY589846 QTU589844:QTU589846 RDQ589844:RDQ589846 RNM589844:RNM589846 RXI589844:RXI589846 SHE589844:SHE589846 SRA589844:SRA589846 TAW589844:TAW589846 TKS589844:TKS589846 TUO589844:TUO589846 UEK589844:UEK589846 UOG589844:UOG589846 UYC589844:UYC589846 VHY589844:VHY589846 VRU589844:VRU589846 WBQ589844:WBQ589846 WLM589844:WLM589846 WVI589844:WVI589846 A655380:A655382 IW655380:IW655382 SS655380:SS655382 ACO655380:ACO655382 AMK655380:AMK655382 AWG655380:AWG655382 BGC655380:BGC655382 BPY655380:BPY655382 BZU655380:BZU655382 CJQ655380:CJQ655382 CTM655380:CTM655382 DDI655380:DDI655382 DNE655380:DNE655382 DXA655380:DXA655382 EGW655380:EGW655382 EQS655380:EQS655382 FAO655380:FAO655382 FKK655380:FKK655382 FUG655380:FUG655382 GEC655380:GEC655382 GNY655380:GNY655382 GXU655380:GXU655382 HHQ655380:HHQ655382 HRM655380:HRM655382 IBI655380:IBI655382 ILE655380:ILE655382 IVA655380:IVA655382 JEW655380:JEW655382 JOS655380:JOS655382 JYO655380:JYO655382 KIK655380:KIK655382 KSG655380:KSG655382 LCC655380:LCC655382 LLY655380:LLY655382 LVU655380:LVU655382 MFQ655380:MFQ655382 MPM655380:MPM655382 MZI655380:MZI655382 NJE655380:NJE655382 NTA655380:NTA655382 OCW655380:OCW655382 OMS655380:OMS655382 OWO655380:OWO655382 PGK655380:PGK655382 PQG655380:PQG655382 QAC655380:QAC655382 QJY655380:QJY655382 QTU655380:QTU655382 RDQ655380:RDQ655382 RNM655380:RNM655382 RXI655380:RXI655382 SHE655380:SHE655382 SRA655380:SRA655382 TAW655380:TAW655382 TKS655380:TKS655382 TUO655380:TUO655382 UEK655380:UEK655382 UOG655380:UOG655382 UYC655380:UYC655382 VHY655380:VHY655382 VRU655380:VRU655382 WBQ655380:WBQ655382 WLM655380:WLM655382 WVI655380:WVI655382 A720916:A720918 IW720916:IW720918 SS720916:SS720918 ACO720916:ACO720918 AMK720916:AMK720918 AWG720916:AWG720918 BGC720916:BGC720918 BPY720916:BPY720918 BZU720916:BZU720918 CJQ720916:CJQ720918 CTM720916:CTM720918 DDI720916:DDI720918 DNE720916:DNE720918 DXA720916:DXA720918 EGW720916:EGW720918 EQS720916:EQS720918 FAO720916:FAO720918 FKK720916:FKK720918 FUG720916:FUG720918 GEC720916:GEC720918 GNY720916:GNY720918 GXU720916:GXU720918 HHQ720916:HHQ720918 HRM720916:HRM720918 IBI720916:IBI720918 ILE720916:ILE720918 IVA720916:IVA720918 JEW720916:JEW720918 JOS720916:JOS720918 JYO720916:JYO720918 KIK720916:KIK720918 KSG720916:KSG720918 LCC720916:LCC720918 LLY720916:LLY720918 LVU720916:LVU720918 MFQ720916:MFQ720918 MPM720916:MPM720918 MZI720916:MZI720918 NJE720916:NJE720918 NTA720916:NTA720918 OCW720916:OCW720918 OMS720916:OMS720918 OWO720916:OWO720918 PGK720916:PGK720918 PQG720916:PQG720918 QAC720916:QAC720918 QJY720916:QJY720918 QTU720916:QTU720918 RDQ720916:RDQ720918 RNM720916:RNM720918 RXI720916:RXI720918 SHE720916:SHE720918 SRA720916:SRA720918 TAW720916:TAW720918 TKS720916:TKS720918 TUO720916:TUO720918 UEK720916:UEK720918 UOG720916:UOG720918 UYC720916:UYC720918 VHY720916:VHY720918 VRU720916:VRU720918 WBQ720916:WBQ720918 WLM720916:WLM720918 WVI720916:WVI720918 A786452:A786454 IW786452:IW786454 SS786452:SS786454 ACO786452:ACO786454 AMK786452:AMK786454 AWG786452:AWG786454 BGC786452:BGC786454 BPY786452:BPY786454 BZU786452:BZU786454 CJQ786452:CJQ786454 CTM786452:CTM786454 DDI786452:DDI786454 DNE786452:DNE786454 DXA786452:DXA786454 EGW786452:EGW786454 EQS786452:EQS786454 FAO786452:FAO786454 FKK786452:FKK786454 FUG786452:FUG786454 GEC786452:GEC786454 GNY786452:GNY786454 GXU786452:GXU786454 HHQ786452:HHQ786454 HRM786452:HRM786454 IBI786452:IBI786454 ILE786452:ILE786454 IVA786452:IVA786454 JEW786452:JEW786454 JOS786452:JOS786454 JYO786452:JYO786454 KIK786452:KIK786454 KSG786452:KSG786454 LCC786452:LCC786454 LLY786452:LLY786454 LVU786452:LVU786454 MFQ786452:MFQ786454 MPM786452:MPM786454 MZI786452:MZI786454 NJE786452:NJE786454 NTA786452:NTA786454 OCW786452:OCW786454 OMS786452:OMS786454 OWO786452:OWO786454 PGK786452:PGK786454 PQG786452:PQG786454 QAC786452:QAC786454 QJY786452:QJY786454 QTU786452:QTU786454 RDQ786452:RDQ786454 RNM786452:RNM786454 RXI786452:RXI786454 SHE786452:SHE786454 SRA786452:SRA786454 TAW786452:TAW786454 TKS786452:TKS786454 TUO786452:TUO786454 UEK786452:UEK786454 UOG786452:UOG786454 UYC786452:UYC786454 VHY786452:VHY786454 VRU786452:VRU786454 WBQ786452:WBQ786454 WLM786452:WLM786454 WVI786452:WVI786454 A851988:A851990 IW851988:IW851990 SS851988:SS851990 ACO851988:ACO851990 AMK851988:AMK851990 AWG851988:AWG851990 BGC851988:BGC851990 BPY851988:BPY851990 BZU851988:BZU851990 CJQ851988:CJQ851990 CTM851988:CTM851990 DDI851988:DDI851990 DNE851988:DNE851990 DXA851988:DXA851990 EGW851988:EGW851990 EQS851988:EQS851990 FAO851988:FAO851990 FKK851988:FKK851990 FUG851988:FUG851990 GEC851988:GEC851990 GNY851988:GNY851990 GXU851988:GXU851990 HHQ851988:HHQ851990 HRM851988:HRM851990 IBI851988:IBI851990 ILE851988:ILE851990 IVA851988:IVA851990 JEW851988:JEW851990 JOS851988:JOS851990 JYO851988:JYO851990 KIK851988:KIK851990 KSG851988:KSG851990 LCC851988:LCC851990 LLY851988:LLY851990 LVU851988:LVU851990 MFQ851988:MFQ851990 MPM851988:MPM851990 MZI851988:MZI851990 NJE851988:NJE851990 NTA851988:NTA851990 OCW851988:OCW851990 OMS851988:OMS851990 OWO851988:OWO851990 PGK851988:PGK851990 PQG851988:PQG851990 QAC851988:QAC851990 QJY851988:QJY851990 QTU851988:QTU851990 RDQ851988:RDQ851990 RNM851988:RNM851990 RXI851988:RXI851990 SHE851988:SHE851990 SRA851988:SRA851990 TAW851988:TAW851990 TKS851988:TKS851990 TUO851988:TUO851990 UEK851988:UEK851990 UOG851988:UOG851990 UYC851988:UYC851990 VHY851988:VHY851990 VRU851988:VRU851990 WBQ851988:WBQ851990 WLM851988:WLM851990 WVI851988:WVI851990 A917524:A917526 IW917524:IW917526 SS917524:SS917526 ACO917524:ACO917526 AMK917524:AMK917526 AWG917524:AWG917526 BGC917524:BGC917526 BPY917524:BPY917526 BZU917524:BZU917526 CJQ917524:CJQ917526 CTM917524:CTM917526 DDI917524:DDI917526 DNE917524:DNE917526 DXA917524:DXA917526 EGW917524:EGW917526 EQS917524:EQS917526 FAO917524:FAO917526 FKK917524:FKK917526 FUG917524:FUG917526 GEC917524:GEC917526 GNY917524:GNY917526 GXU917524:GXU917526 HHQ917524:HHQ917526 HRM917524:HRM917526 IBI917524:IBI917526 ILE917524:ILE917526 IVA917524:IVA917526 JEW917524:JEW917526 JOS917524:JOS917526 JYO917524:JYO917526 KIK917524:KIK917526 KSG917524:KSG917526 LCC917524:LCC917526 LLY917524:LLY917526 LVU917524:LVU917526 MFQ917524:MFQ917526 MPM917524:MPM917526 MZI917524:MZI917526 NJE917524:NJE917526 NTA917524:NTA917526 OCW917524:OCW917526 OMS917524:OMS917526 OWO917524:OWO917526 PGK917524:PGK917526 PQG917524:PQG917526 QAC917524:QAC917526 QJY917524:QJY917526 QTU917524:QTU917526 RDQ917524:RDQ917526 RNM917524:RNM917526 RXI917524:RXI917526 SHE917524:SHE917526 SRA917524:SRA917526 TAW917524:TAW917526 TKS917524:TKS917526 TUO917524:TUO917526 UEK917524:UEK917526 UOG917524:UOG917526 UYC917524:UYC917526 VHY917524:VHY917526 VRU917524:VRU917526 WBQ917524:WBQ917526 WLM917524:WLM917526 WVI917524:WVI917526 A983060:A983062 IW983060:IW983062 SS983060:SS983062 ACO983060:ACO983062 AMK983060:AMK983062 AWG983060:AWG983062 BGC983060:BGC983062 BPY983060:BPY983062 BZU983060:BZU983062 CJQ983060:CJQ983062 CTM983060:CTM983062 DDI983060:DDI983062 DNE983060:DNE983062 DXA983060:DXA983062 EGW983060:EGW983062 EQS983060:EQS983062 FAO983060:FAO983062 FKK983060:FKK983062 FUG983060:FUG983062 GEC983060:GEC983062 GNY983060:GNY983062 GXU983060:GXU983062 HHQ983060:HHQ983062 HRM983060:HRM983062 IBI983060:IBI983062 ILE983060:ILE983062 IVA983060:IVA983062 JEW983060:JEW983062 JOS983060:JOS983062 JYO983060:JYO983062 KIK983060:KIK983062 KSG983060:KSG983062 LCC983060:LCC983062 LLY983060:LLY983062 LVU983060:LVU983062 MFQ983060:MFQ983062 MPM983060:MPM983062 MZI983060:MZI983062 NJE983060:NJE983062 NTA983060:NTA983062 OCW983060:OCW983062 OMS983060:OMS983062 OWO983060:OWO983062 PGK983060:PGK983062 PQG983060:PQG983062 QAC983060:QAC983062 QJY983060:QJY983062 QTU983060:QTU983062 RDQ983060:RDQ983062 RNM983060:RNM983062 RXI983060:RXI983062 SHE983060:SHE983062 SRA983060:SRA983062 TAW983060:TAW983062 TKS983060:TKS983062 TUO983060:TUO983062 UEK983060:UEK983062 UOG983060:UOG983062 UYC983060:UYC983062 VHY983060:VHY983062 VRU983060:VRU983062 WBQ983060:WBQ983062 WLM983060:WLM983062 WVI983060:WVI983062 AA21:AG21 JW21:KC21 TS21:TY21 ADO21:ADU21 ANK21:ANQ21 AXG21:AXM21 BHC21:BHI21 BQY21:BRE21 CAU21:CBA21 CKQ21:CKW21 CUM21:CUS21 DEI21:DEO21 DOE21:DOK21 DYA21:DYG21 EHW21:EIC21 ERS21:ERY21 FBO21:FBU21 FLK21:FLQ21 FVG21:FVM21 GFC21:GFI21 GOY21:GPE21 GYU21:GZA21 HIQ21:HIW21 HSM21:HSS21 ICI21:ICO21 IME21:IMK21 IWA21:IWG21 JFW21:JGC21 JPS21:JPY21 JZO21:JZU21 KJK21:KJQ21 KTG21:KTM21 LDC21:LDI21 LMY21:LNE21 LWU21:LXA21 MGQ21:MGW21 MQM21:MQS21 NAI21:NAO21 NKE21:NKK21 NUA21:NUG21 ODW21:OEC21 ONS21:ONY21 OXO21:OXU21 PHK21:PHQ21 PRG21:PRM21 QBC21:QBI21 QKY21:QLE21 QUU21:QVA21 REQ21:REW21 ROM21:ROS21 RYI21:RYO21 SIE21:SIK21 SSA21:SSG21 TBW21:TCC21 TLS21:TLY21 TVO21:TVU21 UFK21:UFQ21 UPG21:UPM21 UZC21:UZI21 VIY21:VJE21 VSU21:VTA21 WCQ21:WCW21 WMM21:WMS21 WWI21:WWO21 AA65557:AG65557 JW65557:KC65557 TS65557:TY65557 ADO65557:ADU65557 ANK65557:ANQ65557 AXG65557:AXM65557 BHC65557:BHI65557 BQY65557:BRE65557 CAU65557:CBA65557 CKQ65557:CKW65557 CUM65557:CUS65557 DEI65557:DEO65557 DOE65557:DOK65557 DYA65557:DYG65557 EHW65557:EIC65557 ERS65557:ERY65557 FBO65557:FBU65557 FLK65557:FLQ65557 FVG65557:FVM65557 GFC65557:GFI65557 GOY65557:GPE65557 GYU65557:GZA65557 HIQ65557:HIW65557 HSM65557:HSS65557 ICI65557:ICO65557 IME65557:IMK65557 IWA65557:IWG65557 JFW65557:JGC65557 JPS65557:JPY65557 JZO65557:JZU65557 KJK65557:KJQ65557 KTG65557:KTM65557 LDC65557:LDI65557 LMY65557:LNE65557 LWU65557:LXA65557 MGQ65557:MGW65557 MQM65557:MQS65557 NAI65557:NAO65557 NKE65557:NKK65557 NUA65557:NUG65557 ODW65557:OEC65557 ONS65557:ONY65557 OXO65557:OXU65557 PHK65557:PHQ65557 PRG65557:PRM65557 QBC65557:QBI65557 QKY65557:QLE65557 QUU65557:QVA65557 REQ65557:REW65557 ROM65557:ROS65557 RYI65557:RYO65557 SIE65557:SIK65557 SSA65557:SSG65557 TBW65557:TCC65557 TLS65557:TLY65557 TVO65557:TVU65557 UFK65557:UFQ65557 UPG65557:UPM65557 UZC65557:UZI65557 VIY65557:VJE65557 VSU65557:VTA65557 WCQ65557:WCW65557 WMM65557:WMS65557 WWI65557:WWO65557 AA131093:AG131093 JW131093:KC131093 TS131093:TY131093 ADO131093:ADU131093 ANK131093:ANQ131093 AXG131093:AXM131093 BHC131093:BHI131093 BQY131093:BRE131093 CAU131093:CBA131093 CKQ131093:CKW131093 CUM131093:CUS131093 DEI131093:DEO131093 DOE131093:DOK131093 DYA131093:DYG131093 EHW131093:EIC131093 ERS131093:ERY131093 FBO131093:FBU131093 FLK131093:FLQ131093 FVG131093:FVM131093 GFC131093:GFI131093 GOY131093:GPE131093 GYU131093:GZA131093 HIQ131093:HIW131093 HSM131093:HSS131093 ICI131093:ICO131093 IME131093:IMK131093 IWA131093:IWG131093 JFW131093:JGC131093 JPS131093:JPY131093 JZO131093:JZU131093 KJK131093:KJQ131093 KTG131093:KTM131093 LDC131093:LDI131093 LMY131093:LNE131093 LWU131093:LXA131093 MGQ131093:MGW131093 MQM131093:MQS131093 NAI131093:NAO131093 NKE131093:NKK131093 NUA131093:NUG131093 ODW131093:OEC131093 ONS131093:ONY131093 OXO131093:OXU131093 PHK131093:PHQ131093 PRG131093:PRM131093 QBC131093:QBI131093 QKY131093:QLE131093 QUU131093:QVA131093 REQ131093:REW131093 ROM131093:ROS131093 RYI131093:RYO131093 SIE131093:SIK131093 SSA131093:SSG131093 TBW131093:TCC131093 TLS131093:TLY131093 TVO131093:TVU131093 UFK131093:UFQ131093 UPG131093:UPM131093 UZC131093:UZI131093 VIY131093:VJE131093 VSU131093:VTA131093 WCQ131093:WCW131093 WMM131093:WMS131093 WWI131093:WWO131093 AA196629:AG196629 JW196629:KC196629 TS196629:TY196629 ADO196629:ADU196629 ANK196629:ANQ196629 AXG196629:AXM196629 BHC196629:BHI196629 BQY196629:BRE196629 CAU196629:CBA196629 CKQ196629:CKW196629 CUM196629:CUS196629 DEI196629:DEO196629 DOE196629:DOK196629 DYA196629:DYG196629 EHW196629:EIC196629 ERS196629:ERY196629 FBO196629:FBU196629 FLK196629:FLQ196629 FVG196629:FVM196629 GFC196629:GFI196629 GOY196629:GPE196629 GYU196629:GZA196629 HIQ196629:HIW196629 HSM196629:HSS196629 ICI196629:ICO196629 IME196629:IMK196629 IWA196629:IWG196629 JFW196629:JGC196629 JPS196629:JPY196629 JZO196629:JZU196629 KJK196629:KJQ196629 KTG196629:KTM196629 LDC196629:LDI196629 LMY196629:LNE196629 LWU196629:LXA196629 MGQ196629:MGW196629 MQM196629:MQS196629 NAI196629:NAO196629 NKE196629:NKK196629 NUA196629:NUG196629 ODW196629:OEC196629 ONS196629:ONY196629 OXO196629:OXU196629 PHK196629:PHQ196629 PRG196629:PRM196629 QBC196629:QBI196629 QKY196629:QLE196629 QUU196629:QVA196629 REQ196629:REW196629 ROM196629:ROS196629 RYI196629:RYO196629 SIE196629:SIK196629 SSA196629:SSG196629 TBW196629:TCC196629 TLS196629:TLY196629 TVO196629:TVU196629 UFK196629:UFQ196629 UPG196629:UPM196629 UZC196629:UZI196629 VIY196629:VJE196629 VSU196629:VTA196629 WCQ196629:WCW196629 WMM196629:WMS196629 WWI196629:WWO196629 AA262165:AG262165 JW262165:KC262165 TS262165:TY262165 ADO262165:ADU262165 ANK262165:ANQ262165 AXG262165:AXM262165 BHC262165:BHI262165 BQY262165:BRE262165 CAU262165:CBA262165 CKQ262165:CKW262165 CUM262165:CUS262165 DEI262165:DEO262165 DOE262165:DOK262165 DYA262165:DYG262165 EHW262165:EIC262165 ERS262165:ERY262165 FBO262165:FBU262165 FLK262165:FLQ262165 FVG262165:FVM262165 GFC262165:GFI262165 GOY262165:GPE262165 GYU262165:GZA262165 HIQ262165:HIW262165 HSM262165:HSS262165 ICI262165:ICO262165 IME262165:IMK262165 IWA262165:IWG262165 JFW262165:JGC262165 JPS262165:JPY262165 JZO262165:JZU262165 KJK262165:KJQ262165 KTG262165:KTM262165 LDC262165:LDI262165 LMY262165:LNE262165 LWU262165:LXA262165 MGQ262165:MGW262165 MQM262165:MQS262165 NAI262165:NAO262165 NKE262165:NKK262165 NUA262165:NUG262165 ODW262165:OEC262165 ONS262165:ONY262165 OXO262165:OXU262165 PHK262165:PHQ262165 PRG262165:PRM262165 QBC262165:QBI262165 QKY262165:QLE262165 QUU262165:QVA262165 REQ262165:REW262165 ROM262165:ROS262165 RYI262165:RYO262165 SIE262165:SIK262165 SSA262165:SSG262165 TBW262165:TCC262165 TLS262165:TLY262165 TVO262165:TVU262165 UFK262165:UFQ262165 UPG262165:UPM262165 UZC262165:UZI262165 VIY262165:VJE262165 VSU262165:VTA262165 WCQ262165:WCW262165 WMM262165:WMS262165 WWI262165:WWO262165 AA327701:AG327701 JW327701:KC327701 TS327701:TY327701 ADO327701:ADU327701 ANK327701:ANQ327701 AXG327701:AXM327701 BHC327701:BHI327701 BQY327701:BRE327701 CAU327701:CBA327701 CKQ327701:CKW327701 CUM327701:CUS327701 DEI327701:DEO327701 DOE327701:DOK327701 DYA327701:DYG327701 EHW327701:EIC327701 ERS327701:ERY327701 FBO327701:FBU327701 FLK327701:FLQ327701 FVG327701:FVM327701 GFC327701:GFI327701 GOY327701:GPE327701 GYU327701:GZA327701 HIQ327701:HIW327701 HSM327701:HSS327701 ICI327701:ICO327701 IME327701:IMK327701 IWA327701:IWG327701 JFW327701:JGC327701 JPS327701:JPY327701 JZO327701:JZU327701 KJK327701:KJQ327701 KTG327701:KTM327701 LDC327701:LDI327701 LMY327701:LNE327701 LWU327701:LXA327701 MGQ327701:MGW327701 MQM327701:MQS327701 NAI327701:NAO327701 NKE327701:NKK327701 NUA327701:NUG327701 ODW327701:OEC327701 ONS327701:ONY327701 OXO327701:OXU327701 PHK327701:PHQ327701 PRG327701:PRM327701 QBC327701:QBI327701 QKY327701:QLE327701 QUU327701:QVA327701 REQ327701:REW327701 ROM327701:ROS327701 RYI327701:RYO327701 SIE327701:SIK327701 SSA327701:SSG327701 TBW327701:TCC327701 TLS327701:TLY327701 TVO327701:TVU327701 UFK327701:UFQ327701 UPG327701:UPM327701 UZC327701:UZI327701 VIY327701:VJE327701 VSU327701:VTA327701 WCQ327701:WCW327701 WMM327701:WMS327701 WWI327701:WWO327701 AA393237:AG393237 JW393237:KC393237 TS393237:TY393237 ADO393237:ADU393237 ANK393237:ANQ393237 AXG393237:AXM393237 BHC393237:BHI393237 BQY393237:BRE393237 CAU393237:CBA393237 CKQ393237:CKW393237 CUM393237:CUS393237 DEI393237:DEO393237 DOE393237:DOK393237 DYA393237:DYG393237 EHW393237:EIC393237 ERS393237:ERY393237 FBO393237:FBU393237 FLK393237:FLQ393237 FVG393237:FVM393237 GFC393237:GFI393237 GOY393237:GPE393237 GYU393237:GZA393237 HIQ393237:HIW393237 HSM393237:HSS393237 ICI393237:ICO393237 IME393237:IMK393237 IWA393237:IWG393237 JFW393237:JGC393237 JPS393237:JPY393237 JZO393237:JZU393237 KJK393237:KJQ393237 KTG393237:KTM393237 LDC393237:LDI393237 LMY393237:LNE393237 LWU393237:LXA393237 MGQ393237:MGW393237 MQM393237:MQS393237 NAI393237:NAO393237 NKE393237:NKK393237 NUA393237:NUG393237 ODW393237:OEC393237 ONS393237:ONY393237 OXO393237:OXU393237 PHK393237:PHQ393237 PRG393237:PRM393237 QBC393237:QBI393237 QKY393237:QLE393237 QUU393237:QVA393237 REQ393237:REW393237 ROM393237:ROS393237 RYI393237:RYO393237 SIE393237:SIK393237 SSA393237:SSG393237 TBW393237:TCC393237 TLS393237:TLY393237 TVO393237:TVU393237 UFK393237:UFQ393237 UPG393237:UPM393237 UZC393237:UZI393237 VIY393237:VJE393237 VSU393237:VTA393237 WCQ393237:WCW393237 WMM393237:WMS393237 WWI393237:WWO393237 AA458773:AG458773 JW458773:KC458773 TS458773:TY458773 ADO458773:ADU458773 ANK458773:ANQ458773 AXG458773:AXM458773 BHC458773:BHI458773 BQY458773:BRE458773 CAU458773:CBA458773 CKQ458773:CKW458773 CUM458773:CUS458773 DEI458773:DEO458773 DOE458773:DOK458773 DYA458773:DYG458773 EHW458773:EIC458773 ERS458773:ERY458773 FBO458773:FBU458773 FLK458773:FLQ458773 FVG458773:FVM458773 GFC458773:GFI458773 GOY458773:GPE458773 GYU458773:GZA458773 HIQ458773:HIW458773 HSM458773:HSS458773 ICI458773:ICO458773 IME458773:IMK458773 IWA458773:IWG458773 JFW458773:JGC458773 JPS458773:JPY458773 JZO458773:JZU458773 KJK458773:KJQ458773 KTG458773:KTM458773 LDC458773:LDI458773 LMY458773:LNE458773 LWU458773:LXA458773 MGQ458773:MGW458773 MQM458773:MQS458773 NAI458773:NAO458773 NKE458773:NKK458773 NUA458773:NUG458773 ODW458773:OEC458773 ONS458773:ONY458773 OXO458773:OXU458773 PHK458773:PHQ458773 PRG458773:PRM458773 QBC458773:QBI458773 QKY458773:QLE458773 QUU458773:QVA458773 REQ458773:REW458773 ROM458773:ROS458773 RYI458773:RYO458773 SIE458773:SIK458773 SSA458773:SSG458773 TBW458773:TCC458773 TLS458773:TLY458773 TVO458773:TVU458773 UFK458773:UFQ458773 UPG458773:UPM458773 UZC458773:UZI458773 VIY458773:VJE458773 VSU458773:VTA458773 WCQ458773:WCW458773 WMM458773:WMS458773 WWI458773:WWO458773 AA524309:AG524309 JW524309:KC524309 TS524309:TY524309 ADO524309:ADU524309 ANK524309:ANQ524309 AXG524309:AXM524309 BHC524309:BHI524309 BQY524309:BRE524309 CAU524309:CBA524309 CKQ524309:CKW524309 CUM524309:CUS524309 DEI524309:DEO524309 DOE524309:DOK524309 DYA524309:DYG524309 EHW524309:EIC524309 ERS524309:ERY524309 FBO524309:FBU524309 FLK524309:FLQ524309 FVG524309:FVM524309 GFC524309:GFI524309 GOY524309:GPE524309 GYU524309:GZA524309 HIQ524309:HIW524309 HSM524309:HSS524309 ICI524309:ICO524309 IME524309:IMK524309 IWA524309:IWG524309 JFW524309:JGC524309 JPS524309:JPY524309 JZO524309:JZU524309 KJK524309:KJQ524309 KTG524309:KTM524309 LDC524309:LDI524309 LMY524309:LNE524309 LWU524309:LXA524309 MGQ524309:MGW524309 MQM524309:MQS524309 NAI524309:NAO524309 NKE524309:NKK524309 NUA524309:NUG524309 ODW524309:OEC524309 ONS524309:ONY524309 OXO524309:OXU524309 PHK524309:PHQ524309 PRG524309:PRM524309 QBC524309:QBI524309 QKY524309:QLE524309 QUU524309:QVA524309 REQ524309:REW524309 ROM524309:ROS524309 RYI524309:RYO524309 SIE524309:SIK524309 SSA524309:SSG524309 TBW524309:TCC524309 TLS524309:TLY524309 TVO524309:TVU524309 UFK524309:UFQ524309 UPG524309:UPM524309 UZC524309:UZI524309 VIY524309:VJE524309 VSU524309:VTA524309 WCQ524309:WCW524309 WMM524309:WMS524309 WWI524309:WWO524309 AA589845:AG589845 JW589845:KC589845 TS589845:TY589845 ADO589845:ADU589845 ANK589845:ANQ589845 AXG589845:AXM589845 BHC589845:BHI589845 BQY589845:BRE589845 CAU589845:CBA589845 CKQ589845:CKW589845 CUM589845:CUS589845 DEI589845:DEO589845 DOE589845:DOK589845 DYA589845:DYG589845 EHW589845:EIC589845 ERS589845:ERY589845 FBO589845:FBU589845 FLK589845:FLQ589845 FVG589845:FVM589845 GFC589845:GFI589845 GOY589845:GPE589845 GYU589845:GZA589845 HIQ589845:HIW589845 HSM589845:HSS589845 ICI589845:ICO589845 IME589845:IMK589845 IWA589845:IWG589845 JFW589845:JGC589845 JPS589845:JPY589845 JZO589845:JZU589845 KJK589845:KJQ589845 KTG589845:KTM589845 LDC589845:LDI589845 LMY589845:LNE589845 LWU589845:LXA589845 MGQ589845:MGW589845 MQM589845:MQS589845 NAI589845:NAO589845 NKE589845:NKK589845 NUA589845:NUG589845 ODW589845:OEC589845 ONS589845:ONY589845 OXO589845:OXU589845 PHK589845:PHQ589845 PRG589845:PRM589845 QBC589845:QBI589845 QKY589845:QLE589845 QUU589845:QVA589845 REQ589845:REW589845 ROM589845:ROS589845 RYI589845:RYO589845 SIE589845:SIK589845 SSA589845:SSG589845 TBW589845:TCC589845 TLS589845:TLY589845 TVO589845:TVU589845 UFK589845:UFQ589845 UPG589845:UPM589845 UZC589845:UZI589845 VIY589845:VJE589845 VSU589845:VTA589845 WCQ589845:WCW589845 WMM589845:WMS589845 WWI589845:WWO589845 AA655381:AG655381 JW655381:KC655381 TS655381:TY655381 ADO655381:ADU655381 ANK655381:ANQ655381 AXG655381:AXM655381 BHC655381:BHI655381 BQY655381:BRE655381 CAU655381:CBA655381 CKQ655381:CKW655381 CUM655381:CUS655381 DEI655381:DEO655381 DOE655381:DOK655381 DYA655381:DYG655381 EHW655381:EIC655381 ERS655381:ERY655381 FBO655381:FBU655381 FLK655381:FLQ655381 FVG655381:FVM655381 GFC655381:GFI655381 GOY655381:GPE655381 GYU655381:GZA655381 HIQ655381:HIW655381 HSM655381:HSS655381 ICI655381:ICO655381 IME655381:IMK655381 IWA655381:IWG655381 JFW655381:JGC655381 JPS655381:JPY655381 JZO655381:JZU655381 KJK655381:KJQ655381 KTG655381:KTM655381 LDC655381:LDI655381 LMY655381:LNE655381 LWU655381:LXA655381 MGQ655381:MGW655381 MQM655381:MQS655381 NAI655381:NAO655381 NKE655381:NKK655381 NUA655381:NUG655381 ODW655381:OEC655381 ONS655381:ONY655381 OXO655381:OXU655381 PHK655381:PHQ655381 PRG655381:PRM655381 QBC655381:QBI655381 QKY655381:QLE655381 QUU655381:QVA655381 REQ655381:REW655381 ROM655381:ROS655381 RYI655381:RYO655381 SIE655381:SIK655381 SSA655381:SSG655381 TBW655381:TCC655381 TLS655381:TLY655381 TVO655381:TVU655381 UFK655381:UFQ655381 UPG655381:UPM655381 UZC655381:UZI655381 VIY655381:VJE655381 VSU655381:VTA655381 WCQ655381:WCW655381 WMM655381:WMS655381 WWI655381:WWO655381 AA720917:AG720917 JW720917:KC720917 TS720917:TY720917 ADO720917:ADU720917 ANK720917:ANQ720917 AXG720917:AXM720917 BHC720917:BHI720917 BQY720917:BRE720917 CAU720917:CBA720917 CKQ720917:CKW720917 CUM720917:CUS720917 DEI720917:DEO720917 DOE720917:DOK720917 DYA720917:DYG720917 EHW720917:EIC720917 ERS720917:ERY720917 FBO720917:FBU720917 FLK720917:FLQ720917 FVG720917:FVM720917 GFC720917:GFI720917 GOY720917:GPE720917 GYU720917:GZA720917 HIQ720917:HIW720917 HSM720917:HSS720917 ICI720917:ICO720917 IME720917:IMK720917 IWA720917:IWG720917 JFW720917:JGC720917 JPS720917:JPY720917 JZO720917:JZU720917 KJK720917:KJQ720917 KTG720917:KTM720917 LDC720917:LDI720917 LMY720917:LNE720917 LWU720917:LXA720917 MGQ720917:MGW720917 MQM720917:MQS720917 NAI720917:NAO720917 NKE720917:NKK720917 NUA720917:NUG720917 ODW720917:OEC720917 ONS720917:ONY720917 OXO720917:OXU720917 PHK720917:PHQ720917 PRG720917:PRM720917 QBC720917:QBI720917 QKY720917:QLE720917 QUU720917:QVA720917 REQ720917:REW720917 ROM720917:ROS720917 RYI720917:RYO720917 SIE720917:SIK720917 SSA720917:SSG720917 TBW720917:TCC720917 TLS720917:TLY720917 TVO720917:TVU720917 UFK720917:UFQ720917 UPG720917:UPM720917 UZC720917:UZI720917 VIY720917:VJE720917 VSU720917:VTA720917 WCQ720917:WCW720917 WMM720917:WMS720917 WWI720917:WWO720917 AA786453:AG786453 JW786453:KC786453 TS786453:TY786453 ADO786453:ADU786453 ANK786453:ANQ786453 AXG786453:AXM786453 BHC786453:BHI786453 BQY786453:BRE786453 CAU786453:CBA786453 CKQ786453:CKW786453 CUM786453:CUS786453 DEI786453:DEO786453 DOE786453:DOK786453 DYA786453:DYG786453 EHW786453:EIC786453 ERS786453:ERY786453 FBO786453:FBU786453 FLK786453:FLQ786453 FVG786453:FVM786453 GFC786453:GFI786453 GOY786453:GPE786453 GYU786453:GZA786453 HIQ786453:HIW786453 HSM786453:HSS786453 ICI786453:ICO786453 IME786453:IMK786453 IWA786453:IWG786453 JFW786453:JGC786453 JPS786453:JPY786453 JZO786453:JZU786453 KJK786453:KJQ786453 KTG786453:KTM786453 LDC786453:LDI786453 LMY786453:LNE786453 LWU786453:LXA786453 MGQ786453:MGW786453 MQM786453:MQS786453 NAI786453:NAO786453 NKE786453:NKK786453 NUA786453:NUG786453 ODW786453:OEC786453 ONS786453:ONY786453 OXO786453:OXU786453 PHK786453:PHQ786453 PRG786453:PRM786453 QBC786453:QBI786453 QKY786453:QLE786453 QUU786453:QVA786453 REQ786453:REW786453 ROM786453:ROS786453 RYI786453:RYO786453 SIE786453:SIK786453 SSA786453:SSG786453 TBW786453:TCC786453 TLS786453:TLY786453 TVO786453:TVU786453 UFK786453:UFQ786453 UPG786453:UPM786453 UZC786453:UZI786453 VIY786453:VJE786453 VSU786453:VTA786453 WCQ786453:WCW786453 WMM786453:WMS786453 WWI786453:WWO786453 AA851989:AG851989 JW851989:KC851989 TS851989:TY851989 ADO851989:ADU851989 ANK851989:ANQ851989 AXG851989:AXM851989 BHC851989:BHI851989 BQY851989:BRE851989 CAU851989:CBA851989 CKQ851989:CKW851989 CUM851989:CUS851989 DEI851989:DEO851989 DOE851989:DOK851989 DYA851989:DYG851989 EHW851989:EIC851989 ERS851989:ERY851989 FBO851989:FBU851989 FLK851989:FLQ851989 FVG851989:FVM851989 GFC851989:GFI851989 GOY851989:GPE851989 GYU851989:GZA851989 HIQ851989:HIW851989 HSM851989:HSS851989 ICI851989:ICO851989 IME851989:IMK851989 IWA851989:IWG851989 JFW851989:JGC851989 JPS851989:JPY851989 JZO851989:JZU851989 KJK851989:KJQ851989 KTG851989:KTM851989 LDC851989:LDI851989 LMY851989:LNE851989 LWU851989:LXA851989 MGQ851989:MGW851989 MQM851989:MQS851989 NAI851989:NAO851989 NKE851989:NKK851989 NUA851989:NUG851989 ODW851989:OEC851989 ONS851989:ONY851989 OXO851989:OXU851989 PHK851989:PHQ851989 PRG851989:PRM851989 QBC851989:QBI851989 QKY851989:QLE851989 QUU851989:QVA851989 REQ851989:REW851989 ROM851989:ROS851989 RYI851989:RYO851989 SIE851989:SIK851989 SSA851989:SSG851989 TBW851989:TCC851989 TLS851989:TLY851989 TVO851989:TVU851989 UFK851989:UFQ851989 UPG851989:UPM851989 UZC851989:UZI851989 VIY851989:VJE851989 VSU851989:VTA851989 WCQ851989:WCW851989 WMM851989:WMS851989 WWI851989:WWO851989 AA917525:AG917525 JW917525:KC917525 TS917525:TY917525 ADO917525:ADU917525 ANK917525:ANQ917525 AXG917525:AXM917525 BHC917525:BHI917525 BQY917525:BRE917525 CAU917525:CBA917525 CKQ917525:CKW917525 CUM917525:CUS917525 DEI917525:DEO917525 DOE917525:DOK917525 DYA917525:DYG917525 EHW917525:EIC917525 ERS917525:ERY917525 FBO917525:FBU917525 FLK917525:FLQ917525 FVG917525:FVM917525 GFC917525:GFI917525 GOY917525:GPE917525 GYU917525:GZA917525 HIQ917525:HIW917525 HSM917525:HSS917525 ICI917525:ICO917525 IME917525:IMK917525 IWA917525:IWG917525 JFW917525:JGC917525 JPS917525:JPY917525 JZO917525:JZU917525 KJK917525:KJQ917525 KTG917525:KTM917525 LDC917525:LDI917525 LMY917525:LNE917525 LWU917525:LXA917525 MGQ917525:MGW917525 MQM917525:MQS917525 NAI917525:NAO917525 NKE917525:NKK917525 NUA917525:NUG917525 ODW917525:OEC917525 ONS917525:ONY917525 OXO917525:OXU917525 PHK917525:PHQ917525 PRG917525:PRM917525 QBC917525:QBI917525 QKY917525:QLE917525 QUU917525:QVA917525 REQ917525:REW917525 ROM917525:ROS917525 RYI917525:RYO917525 SIE917525:SIK917525 SSA917525:SSG917525 TBW917525:TCC917525 TLS917525:TLY917525 TVO917525:TVU917525 UFK917525:UFQ917525 UPG917525:UPM917525 UZC917525:UZI917525 VIY917525:VJE917525 VSU917525:VTA917525 WCQ917525:WCW917525 WMM917525:WMS917525 WWI917525:WWO917525 AA983061:AG983061 JW983061:KC983061 TS983061:TY983061 ADO983061:ADU983061 ANK983061:ANQ983061 AXG983061:AXM983061 BHC983061:BHI983061 BQY983061:BRE983061 CAU983061:CBA983061 CKQ983061:CKW983061 CUM983061:CUS983061 DEI983061:DEO983061 DOE983061:DOK983061 DYA983061:DYG983061 EHW983061:EIC983061 ERS983061:ERY983061 FBO983061:FBU983061 FLK983061:FLQ983061 FVG983061:FVM983061 GFC983061:GFI983061 GOY983061:GPE983061 GYU983061:GZA983061 HIQ983061:HIW983061 HSM983061:HSS983061 ICI983061:ICO983061 IME983061:IMK983061 IWA983061:IWG983061 JFW983061:JGC983061 JPS983061:JPY983061 JZO983061:JZU983061 KJK983061:KJQ983061 KTG983061:KTM983061 LDC983061:LDI983061 LMY983061:LNE983061 LWU983061:LXA983061 MGQ983061:MGW983061 MQM983061:MQS983061 NAI983061:NAO983061 NKE983061:NKK983061 NUA983061:NUG983061 ODW983061:OEC983061 ONS983061:ONY983061 OXO983061:OXU983061 PHK983061:PHQ983061 PRG983061:PRM983061 QBC983061:QBI983061 QKY983061:QLE983061 QUU983061:QVA983061 REQ983061:REW983061 ROM983061:ROS983061 RYI983061:RYO983061 SIE983061:SIK983061 SSA983061:SSG983061 TBW983061:TCC983061 TLS983061:TLY983061 TVO983061:TVU983061 UFK983061:UFQ983061 UPG983061:UPM983061 UZC983061:UZI983061 VIY983061:VJE983061 VSU983061:VTA983061 WCQ983061:WCW983061 WMM983061:WMS983061 WWI983061:WWO983061" xr:uid="{916B2249-C26B-44D2-A4D7-89968F47DF6A}">
      <formula1>0</formula1>
      <formula2>0</formula2>
    </dataValidation>
  </dataValidations>
  <printOptions horizontalCentered="1" verticalCentered="1"/>
  <pageMargins left="0.23622047244094491" right="0.23622047244094491" top="0.74803149606299213" bottom="0.74803149606299213" header="0.31496062992125984" footer="0.31496062992125984"/>
  <pageSetup paperSize="9" scale="88" firstPageNumber="0" orientation="portrait" horizontalDpi="4294967293" verticalDpi="300" r:id="rId1"/>
  <headerFooter alignWithMargins="0"/>
  <rowBreaks count="1" manualBreakCount="1">
    <brk id="38"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EB875-8CBC-4B06-AE5F-D3E730DBBCA8}">
  <sheetPr codeName="Sheet31"/>
  <dimension ref="A1:AM43"/>
  <sheetViews>
    <sheetView zoomScaleNormal="100" workbookViewId="0">
      <selection activeCell="AM20" sqref="AM20"/>
    </sheetView>
  </sheetViews>
  <sheetFormatPr defaultColWidth="2.625" defaultRowHeight="18" customHeight="1"/>
  <cols>
    <col min="1" max="1" width="2.625" style="34"/>
    <col min="2" max="19" width="3.625" style="34" customWidth="1"/>
    <col min="20" max="20" width="2.625" style="34"/>
    <col min="21" max="27" width="3.625" style="34" customWidth="1"/>
    <col min="28" max="16384" width="2.625" style="34"/>
  </cols>
  <sheetData>
    <row r="1" spans="1:39" ht="18" customHeight="1">
      <c r="B1" s="149" t="s">
        <v>71</v>
      </c>
      <c r="C1" s="149"/>
      <c r="D1" s="149"/>
      <c r="E1" s="149"/>
      <c r="F1" s="149"/>
      <c r="G1" s="149"/>
      <c r="H1" s="149"/>
      <c r="I1" s="149"/>
      <c r="R1" s="56"/>
      <c r="S1" s="160"/>
      <c r="T1" s="160"/>
      <c r="U1" s="160"/>
      <c r="V1" s="160"/>
      <c r="W1" s="160"/>
      <c r="X1" s="160"/>
      <c r="Y1" s="160"/>
    </row>
    <row r="2" spans="1:39" ht="13.5" customHeight="1">
      <c r="A2" s="155" t="s">
        <v>70</v>
      </c>
      <c r="B2" s="155"/>
      <c r="C2" s="155"/>
      <c r="D2" s="155"/>
      <c r="E2" s="155"/>
      <c r="F2" s="155"/>
      <c r="G2" s="155"/>
      <c r="H2" s="155"/>
      <c r="I2" s="155"/>
      <c r="J2" s="155"/>
      <c r="K2" s="155"/>
      <c r="L2" s="155"/>
      <c r="M2" s="155"/>
      <c r="N2" s="155"/>
      <c r="O2" s="155"/>
      <c r="P2" s="155"/>
      <c r="Q2" s="155"/>
      <c r="R2" s="155"/>
      <c r="S2" s="155"/>
      <c r="T2" s="155"/>
      <c r="U2" s="155"/>
      <c r="V2" s="155"/>
      <c r="W2" s="155"/>
      <c r="X2" s="155"/>
      <c r="Y2" s="155"/>
      <c r="Z2" s="155"/>
    </row>
    <row r="3" spans="1:39" ht="24.75" customHeight="1">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52"/>
      <c r="AB3" s="52"/>
      <c r="AC3" s="52"/>
      <c r="AD3" s="52"/>
      <c r="AE3" s="52"/>
      <c r="AF3" s="52"/>
      <c r="AG3" s="52"/>
      <c r="AH3" s="52"/>
      <c r="AI3" s="52"/>
      <c r="AJ3" s="52"/>
      <c r="AM3" s="55"/>
    </row>
    <row r="4" spans="1:39" ht="13.5" customHeight="1">
      <c r="Z4" s="52"/>
      <c r="AA4" s="52"/>
      <c r="AB4" s="52"/>
      <c r="AC4" s="52"/>
      <c r="AD4" s="52"/>
      <c r="AE4" s="52"/>
      <c r="AF4" s="52"/>
      <c r="AG4" s="52"/>
      <c r="AH4" s="52"/>
      <c r="AI4" s="52"/>
      <c r="AJ4" s="52"/>
      <c r="AM4" s="55"/>
    </row>
    <row r="5" spans="1:39" ht="21.75" customHeight="1">
      <c r="B5" s="54"/>
      <c r="C5" s="54"/>
      <c r="D5" s="161" t="str" cm="1">
        <f t="array" aca="1" ref="D5" ca="1">RIGHT(CELL("filename",B1),LEN(CELL("filename",B1))-FIND("]",CELL("filename",B1)))</f>
        <v>Lunch</v>
      </c>
      <c r="E5" s="161"/>
      <c r="F5" s="161"/>
      <c r="G5" s="161"/>
      <c r="H5" s="161"/>
      <c r="I5" s="161"/>
      <c r="J5" s="161"/>
      <c r="K5" s="168" t="s">
        <v>69</v>
      </c>
      <c r="L5" s="168"/>
      <c r="M5" s="53"/>
    </row>
    <row r="6" spans="1:39" ht="18" customHeight="1">
      <c r="D6" s="161"/>
      <c r="E6" s="161"/>
      <c r="F6" s="161"/>
      <c r="G6" s="161"/>
      <c r="H6" s="161"/>
      <c r="I6" s="161"/>
      <c r="J6" s="161"/>
      <c r="K6" s="168"/>
      <c r="L6" s="168"/>
      <c r="M6" s="167" t="s">
        <v>68</v>
      </c>
      <c r="N6" s="167"/>
      <c r="O6" s="167"/>
      <c r="P6" s="167"/>
      <c r="Q6" s="167"/>
      <c r="R6" s="167"/>
      <c r="S6" s="167"/>
      <c r="T6" s="167"/>
      <c r="U6" s="167"/>
      <c r="V6" s="167"/>
      <c r="W6" s="167"/>
      <c r="X6" s="167"/>
      <c r="Y6" s="167"/>
    </row>
    <row r="7" spans="1:39" ht="18" customHeight="1">
      <c r="N7" s="165" t="s">
        <v>67</v>
      </c>
      <c r="O7" s="165"/>
      <c r="P7" s="165"/>
      <c r="Q7" s="165"/>
      <c r="R7" s="165"/>
      <c r="S7" s="165"/>
      <c r="T7" s="165"/>
      <c r="U7" s="165"/>
      <c r="V7" s="165"/>
      <c r="W7" s="165"/>
      <c r="X7" s="165"/>
      <c r="Y7" s="165"/>
    </row>
    <row r="8" spans="1:39" ht="18" customHeight="1">
      <c r="N8" s="165" t="s">
        <v>66</v>
      </c>
      <c r="O8" s="165"/>
      <c r="P8" s="165"/>
      <c r="Q8" s="165"/>
      <c r="R8" s="165"/>
      <c r="S8" s="165"/>
      <c r="T8" s="165"/>
      <c r="U8" s="165"/>
      <c r="V8" s="165"/>
      <c r="W8" s="165"/>
      <c r="X8" s="165"/>
      <c r="Y8" s="165"/>
    </row>
    <row r="9" spans="1:39" ht="18" customHeight="1">
      <c r="D9" s="150" t="s">
        <v>65</v>
      </c>
      <c r="E9" s="150"/>
      <c r="F9" s="150"/>
      <c r="G9" s="150"/>
      <c r="H9" s="150"/>
      <c r="I9" s="150"/>
      <c r="J9" s="150"/>
      <c r="K9" s="150"/>
    </row>
    <row r="10" spans="1:39" ht="13.5" customHeight="1">
      <c r="J10" s="157">
        <f>W17</f>
        <v>0</v>
      </c>
      <c r="K10" s="157"/>
      <c r="L10" s="157"/>
      <c r="M10" s="157"/>
      <c r="N10" s="157"/>
      <c r="O10" s="157"/>
      <c r="P10" s="157"/>
    </row>
    <row r="11" spans="1:39" ht="24.75" customHeight="1" thickBot="1">
      <c r="E11" s="169" t="s">
        <v>28</v>
      </c>
      <c r="F11" s="169"/>
      <c r="G11" s="169"/>
      <c r="H11" s="169"/>
      <c r="I11" s="169"/>
      <c r="J11" s="158"/>
      <c r="K11" s="158"/>
      <c r="L11" s="158"/>
      <c r="M11" s="158"/>
      <c r="N11" s="158"/>
      <c r="O11" s="158"/>
      <c r="P11" s="158"/>
      <c r="Z11" s="52"/>
      <c r="AA11" s="52"/>
      <c r="AB11" s="52"/>
      <c r="AC11" s="52"/>
      <c r="AD11" s="52"/>
      <c r="AE11" s="52"/>
      <c r="AF11" s="52"/>
      <c r="AG11" s="52"/>
      <c r="AH11" s="52"/>
      <c r="AI11" s="52"/>
      <c r="AJ11" s="52"/>
    </row>
    <row r="12" spans="1:39" ht="13.5" customHeight="1">
      <c r="Z12" s="52"/>
      <c r="AA12" s="52"/>
      <c r="AB12" s="52"/>
      <c r="AC12" s="52"/>
      <c r="AD12" s="52"/>
      <c r="AE12" s="52"/>
      <c r="AF12" s="52"/>
      <c r="AG12" s="52"/>
      <c r="AH12" s="52"/>
      <c r="AI12" s="52"/>
      <c r="AJ12" s="52"/>
    </row>
    <row r="13" spans="1:39" ht="21" customHeight="1">
      <c r="B13" s="51"/>
      <c r="C13" s="178" t="s">
        <v>64</v>
      </c>
      <c r="D13" s="179"/>
      <c r="E13" s="183" t="s">
        <v>63</v>
      </c>
      <c r="F13" s="178"/>
      <c r="G13" s="178"/>
      <c r="H13" s="178"/>
      <c r="I13" s="178"/>
      <c r="J13" s="178"/>
      <c r="K13" s="178"/>
      <c r="L13" s="178"/>
      <c r="M13" s="178"/>
      <c r="N13" s="178"/>
      <c r="O13" s="178"/>
      <c r="P13" s="179"/>
      <c r="Q13" s="162" t="s">
        <v>62</v>
      </c>
      <c r="R13" s="162"/>
      <c r="S13" s="162"/>
      <c r="T13" s="162" t="s">
        <v>61</v>
      </c>
      <c r="U13" s="162"/>
      <c r="V13" s="162"/>
      <c r="W13" s="162" t="s">
        <v>60</v>
      </c>
      <c r="X13" s="162"/>
      <c r="Y13" s="162"/>
      <c r="Z13" s="52"/>
      <c r="AA13" s="52"/>
      <c r="AB13" s="52"/>
      <c r="AC13" s="52"/>
      <c r="AD13" s="52"/>
      <c r="AE13" s="52"/>
      <c r="AF13" s="52"/>
      <c r="AG13" s="52"/>
      <c r="AH13" s="52"/>
      <c r="AI13" s="52"/>
      <c r="AJ13" s="52"/>
    </row>
    <row r="14" spans="1:39" ht="21" customHeight="1">
      <c r="B14" s="51"/>
      <c r="C14" s="180">
        <v>1</v>
      </c>
      <c r="D14" s="181"/>
      <c r="E14" s="170" t="s">
        <v>59</v>
      </c>
      <c r="F14" s="170"/>
      <c r="G14" s="170"/>
      <c r="H14" s="170"/>
      <c r="I14" s="170"/>
      <c r="J14" s="170"/>
      <c r="K14" s="170"/>
      <c r="L14" s="170"/>
      <c r="M14" s="170"/>
      <c r="N14" s="170"/>
      <c r="O14" s="170"/>
      <c r="P14" s="171"/>
      <c r="Q14" s="164"/>
      <c r="R14" s="164"/>
      <c r="S14" s="164"/>
      <c r="T14" s="163">
        <v>100</v>
      </c>
      <c r="U14" s="163"/>
      <c r="V14" s="163"/>
      <c r="W14" s="159">
        <f>T14*Q14</f>
        <v>0</v>
      </c>
      <c r="X14" s="159"/>
      <c r="Y14" s="159"/>
    </row>
    <row r="15" spans="1:39" ht="21" customHeight="1">
      <c r="B15" s="51"/>
      <c r="C15" s="180">
        <v>2</v>
      </c>
      <c r="D15" s="181"/>
      <c r="E15" s="153"/>
      <c r="F15" s="153"/>
      <c r="G15" s="153"/>
      <c r="H15" s="153"/>
      <c r="I15" s="153"/>
      <c r="J15" s="153"/>
      <c r="K15" s="153"/>
      <c r="L15" s="153"/>
      <c r="M15" s="153"/>
      <c r="N15" s="153"/>
      <c r="O15" s="153"/>
      <c r="P15" s="154"/>
      <c r="Q15" s="166"/>
      <c r="R15" s="166"/>
      <c r="S15" s="166"/>
      <c r="T15" s="166"/>
      <c r="U15" s="166"/>
      <c r="V15" s="166"/>
      <c r="W15" s="166"/>
      <c r="X15" s="166"/>
      <c r="Y15" s="166"/>
    </row>
    <row r="16" spans="1:39" ht="21" customHeight="1">
      <c r="B16" s="51"/>
      <c r="C16" s="180">
        <v>3</v>
      </c>
      <c r="D16" s="181"/>
      <c r="E16" s="153"/>
      <c r="F16" s="153"/>
      <c r="G16" s="153"/>
      <c r="H16" s="153"/>
      <c r="I16" s="153"/>
      <c r="J16" s="153"/>
      <c r="K16" s="153"/>
      <c r="L16" s="153"/>
      <c r="M16" s="153"/>
      <c r="N16" s="153"/>
      <c r="O16" s="153"/>
      <c r="P16" s="154"/>
      <c r="Q16" s="166"/>
      <c r="R16" s="166"/>
      <c r="S16" s="166"/>
      <c r="T16" s="166"/>
      <c r="U16" s="166"/>
      <c r="V16" s="166"/>
      <c r="W16" s="166"/>
      <c r="X16" s="166"/>
      <c r="Y16" s="166"/>
    </row>
    <row r="17" spans="1:27" ht="21" customHeight="1">
      <c r="Q17" s="162" t="s">
        <v>58</v>
      </c>
      <c r="R17" s="162"/>
      <c r="S17" s="162"/>
      <c r="T17" s="162"/>
      <c r="U17" s="162"/>
      <c r="V17" s="162"/>
      <c r="W17" s="163">
        <f>SUM(W14:Y16)</f>
        <v>0</v>
      </c>
      <c r="X17" s="163"/>
      <c r="Y17" s="163"/>
    </row>
    <row r="18" spans="1:27" ht="14.25" customHeight="1">
      <c r="Q18" s="50"/>
      <c r="R18" s="50"/>
      <c r="S18" s="50"/>
      <c r="T18" s="50"/>
      <c r="U18" s="50"/>
      <c r="V18" s="50"/>
      <c r="W18" s="49"/>
      <c r="X18" s="49"/>
      <c r="Y18" s="49"/>
    </row>
    <row r="19" spans="1:27" s="48" customFormat="1" ht="20.100000000000001" customHeight="1">
      <c r="B19" s="35"/>
      <c r="C19" s="35" t="s">
        <v>46</v>
      </c>
      <c r="D19" s="35"/>
      <c r="E19" s="151" t="s">
        <v>95</v>
      </c>
      <c r="F19" s="151"/>
      <c r="G19" s="37"/>
      <c r="H19" s="37"/>
      <c r="I19" s="37"/>
      <c r="J19" s="37"/>
      <c r="K19" s="37"/>
      <c r="L19" s="37"/>
      <c r="M19" s="37"/>
      <c r="N19" s="37"/>
      <c r="O19" s="37"/>
      <c r="P19" s="37"/>
      <c r="Q19" s="37"/>
      <c r="R19" s="37"/>
      <c r="S19" s="37"/>
      <c r="T19" s="37"/>
      <c r="U19" s="37"/>
      <c r="V19" s="37"/>
      <c r="W19" s="37"/>
      <c r="X19" s="37"/>
      <c r="Y19" s="37"/>
      <c r="Z19" s="37"/>
    </row>
    <row r="20" spans="1:27" ht="18" customHeight="1">
      <c r="E20" s="39"/>
      <c r="F20" s="38"/>
      <c r="G20" s="38"/>
      <c r="H20" s="38"/>
      <c r="I20" s="38"/>
      <c r="J20" s="38"/>
      <c r="K20" s="38"/>
      <c r="L20" s="38"/>
      <c r="M20" s="38"/>
      <c r="N20" s="38"/>
      <c r="O20" s="38"/>
    </row>
    <row r="21" spans="1:27" ht="18" customHeight="1">
      <c r="D21" s="152" t="s">
        <v>49</v>
      </c>
      <c r="E21" s="152"/>
      <c r="F21" s="152"/>
      <c r="G21" s="152"/>
      <c r="H21" s="152"/>
      <c r="I21" s="152"/>
      <c r="J21" s="37"/>
      <c r="M21" s="167" t="s">
        <v>57</v>
      </c>
      <c r="N21" s="167"/>
      <c r="O21" s="167"/>
      <c r="P21" s="167"/>
      <c r="Q21" s="167"/>
      <c r="R21" s="167"/>
      <c r="S21" s="167"/>
      <c r="T21" s="167"/>
      <c r="U21" s="167"/>
      <c r="V21" s="167"/>
      <c r="W21" s="167"/>
      <c r="X21" s="167"/>
      <c r="Y21" s="167"/>
      <c r="Z21" s="36"/>
    </row>
    <row r="22" spans="1:27" ht="18" customHeight="1">
      <c r="D22" s="47"/>
      <c r="K22" s="37"/>
      <c r="L22" s="37"/>
      <c r="M22" s="46"/>
      <c r="N22" s="165" t="s">
        <v>56</v>
      </c>
      <c r="O22" s="165"/>
      <c r="P22" s="165"/>
      <c r="Q22" s="165"/>
      <c r="R22" s="165"/>
      <c r="S22" s="165"/>
      <c r="T22" s="165"/>
      <c r="U22" s="165"/>
      <c r="V22" s="165"/>
      <c r="W22" s="165"/>
      <c r="X22" s="165"/>
      <c r="Y22" s="165"/>
      <c r="Z22" s="36"/>
    </row>
    <row r="23" spans="1:27" ht="18" customHeight="1">
      <c r="D23" s="151"/>
      <c r="E23" s="151"/>
      <c r="F23" s="45"/>
      <c r="G23" s="35" t="s">
        <v>46</v>
      </c>
      <c r="H23" s="35"/>
      <c r="I23" s="35" t="s">
        <v>45</v>
      </c>
      <c r="J23" s="35"/>
      <c r="K23" s="35" t="s">
        <v>44</v>
      </c>
      <c r="L23" s="37"/>
      <c r="M23" s="37"/>
      <c r="N23" s="165" t="s">
        <v>55</v>
      </c>
      <c r="O23" s="165"/>
      <c r="P23" s="165"/>
      <c r="Q23" s="165"/>
      <c r="R23" s="165"/>
      <c r="S23" s="165"/>
      <c r="T23" s="165"/>
      <c r="U23" s="165"/>
      <c r="V23" s="165"/>
      <c r="W23" s="165"/>
      <c r="X23" s="165"/>
      <c r="Y23" s="165"/>
      <c r="Z23" s="36"/>
    </row>
    <row r="24" spans="1:27" ht="18" customHeight="1">
      <c r="D24" s="37"/>
      <c r="F24" s="37"/>
      <c r="G24" s="37"/>
      <c r="H24" s="37"/>
      <c r="I24" s="37"/>
      <c r="J24" s="37"/>
      <c r="K24" s="37"/>
      <c r="L24" s="37"/>
      <c r="M24" s="37"/>
      <c r="N24" s="37"/>
      <c r="P24" s="37"/>
      <c r="Q24" s="37"/>
      <c r="R24" s="37"/>
      <c r="S24" s="37"/>
      <c r="T24" s="37"/>
      <c r="X24" s="36"/>
      <c r="Y24" s="36"/>
      <c r="Z24" s="36"/>
    </row>
    <row r="25" spans="1:27" ht="18" customHeight="1">
      <c r="D25" s="37"/>
      <c r="F25" s="37"/>
      <c r="G25" s="37"/>
      <c r="H25" s="37"/>
      <c r="I25" s="37"/>
      <c r="J25" s="37"/>
      <c r="K25" s="37"/>
      <c r="L25" s="37"/>
      <c r="M25" s="37"/>
      <c r="N25" s="37"/>
      <c r="P25" s="37"/>
      <c r="Q25" s="37"/>
      <c r="R25" s="37"/>
      <c r="S25" s="37"/>
      <c r="T25" s="37"/>
      <c r="X25" s="36"/>
      <c r="Y25" s="36"/>
      <c r="Z25" s="36"/>
    </row>
    <row r="26" spans="1:27" ht="18" customHeight="1">
      <c r="D26" s="37"/>
      <c r="F26" s="37"/>
      <c r="G26" s="37"/>
      <c r="H26" s="37"/>
      <c r="I26" s="37"/>
      <c r="J26" s="37"/>
      <c r="K26" s="37"/>
      <c r="L26" s="37"/>
      <c r="M26" s="37"/>
      <c r="N26" s="37"/>
      <c r="P26" s="37"/>
      <c r="Q26" s="37"/>
      <c r="R26" s="37"/>
      <c r="S26" s="37"/>
      <c r="T26" s="37"/>
      <c r="X26" s="36"/>
      <c r="Y26" s="36"/>
      <c r="Z26" s="36"/>
    </row>
    <row r="27" spans="1:27" ht="18" customHeight="1">
      <c r="A27" s="43"/>
      <c r="B27" s="43"/>
      <c r="C27" s="43"/>
      <c r="D27" s="44"/>
      <c r="E27" s="43"/>
      <c r="F27" s="44"/>
      <c r="G27" s="44"/>
      <c r="H27" s="44"/>
      <c r="I27" s="44"/>
      <c r="J27" s="44"/>
      <c r="K27" s="44"/>
      <c r="L27" s="44"/>
      <c r="M27" s="44"/>
      <c r="N27" s="44"/>
      <c r="O27" s="43"/>
      <c r="P27" s="44"/>
      <c r="Q27" s="44"/>
      <c r="R27" s="44"/>
      <c r="S27" s="44"/>
      <c r="T27" s="44"/>
      <c r="U27" s="43"/>
      <c r="V27" s="43"/>
      <c r="W27" s="43"/>
      <c r="X27" s="42"/>
      <c r="Y27" s="42"/>
      <c r="Z27" s="42"/>
      <c r="AA27" s="36"/>
    </row>
    <row r="28" spans="1:27" ht="18" customHeight="1">
      <c r="D28" s="37"/>
      <c r="F28" s="37"/>
      <c r="G28" s="37"/>
      <c r="H28" s="37"/>
      <c r="I28" s="37"/>
      <c r="J28" s="37"/>
      <c r="K28" s="37"/>
      <c r="L28" s="37"/>
      <c r="M28" s="37"/>
      <c r="N28" s="37"/>
      <c r="P28" s="37"/>
      <c r="Q28" s="37"/>
      <c r="R28" s="37"/>
      <c r="S28" s="37"/>
      <c r="T28" s="37"/>
      <c r="X28" s="36"/>
      <c r="Y28" s="36"/>
      <c r="Z28" s="36"/>
      <c r="AA28" s="36"/>
    </row>
    <row r="29" spans="1:27" ht="18" customHeight="1">
      <c r="L29" s="37"/>
      <c r="M29" s="37"/>
      <c r="N29" s="37"/>
      <c r="V29" s="34" t="s">
        <v>54</v>
      </c>
    </row>
    <row r="30" spans="1:27" ht="18" customHeight="1">
      <c r="D30" s="37"/>
      <c r="E30" s="37"/>
      <c r="F30" s="37"/>
      <c r="G30" s="37"/>
      <c r="H30" s="37"/>
      <c r="I30" s="37"/>
      <c r="J30" s="37"/>
      <c r="K30" s="37"/>
      <c r="L30" s="37"/>
      <c r="M30" s="37"/>
      <c r="N30" s="37"/>
    </row>
    <row r="31" spans="1:27" ht="18" customHeight="1">
      <c r="B31" s="35"/>
      <c r="C31" s="35" t="s">
        <v>46</v>
      </c>
      <c r="D31" s="35"/>
      <c r="E31" s="151" t="s">
        <v>95</v>
      </c>
      <c r="F31" s="151"/>
      <c r="G31" s="37"/>
      <c r="H31" s="37"/>
      <c r="I31" s="37"/>
      <c r="J31" s="37"/>
      <c r="K31" s="37"/>
      <c r="L31" s="37"/>
      <c r="M31" s="37"/>
      <c r="N31" s="37"/>
      <c r="O31" s="37"/>
      <c r="P31" s="37"/>
      <c r="Q31" s="37"/>
      <c r="R31" s="37"/>
      <c r="S31" s="37"/>
      <c r="T31" s="37"/>
      <c r="U31" s="37"/>
      <c r="V31" s="37"/>
      <c r="W31" s="37"/>
      <c r="X31" s="37"/>
      <c r="Y31" s="37"/>
      <c r="Z31" s="37"/>
    </row>
    <row r="32" spans="1:27" ht="18" customHeight="1">
      <c r="B32" s="37"/>
      <c r="C32" s="37"/>
      <c r="D32" s="37"/>
      <c r="E32" s="37"/>
      <c r="F32" s="37"/>
      <c r="G32" s="37"/>
      <c r="H32" s="37"/>
      <c r="I32" s="37"/>
      <c r="J32" s="37"/>
      <c r="K32" s="37"/>
      <c r="L32" s="37"/>
      <c r="M32" s="37"/>
      <c r="N32" s="37"/>
      <c r="O32" s="37"/>
      <c r="P32" s="37"/>
      <c r="Q32" s="37"/>
      <c r="R32" s="37"/>
      <c r="S32" s="37"/>
      <c r="T32" s="37"/>
      <c r="U32" s="37"/>
      <c r="V32" s="37"/>
      <c r="W32" s="37"/>
      <c r="X32" s="37"/>
      <c r="Y32" s="37"/>
      <c r="Z32" s="37"/>
    </row>
    <row r="33" spans="1:26" ht="21" customHeight="1">
      <c r="A33" s="182" t="s">
        <v>53</v>
      </c>
      <c r="B33" s="182"/>
      <c r="C33" s="182"/>
      <c r="D33" s="182"/>
      <c r="E33" s="182"/>
      <c r="F33" s="182"/>
      <c r="G33" s="182"/>
      <c r="H33" s="182"/>
      <c r="I33" s="182"/>
      <c r="J33" s="182"/>
      <c r="K33" s="182"/>
      <c r="L33" s="182"/>
      <c r="M33" s="182"/>
      <c r="N33" s="182"/>
      <c r="O33" s="182"/>
      <c r="P33" s="182"/>
      <c r="Q33" s="182"/>
      <c r="R33" s="182"/>
      <c r="S33" s="182"/>
      <c r="T33" s="182"/>
      <c r="U33" s="182"/>
      <c r="V33" s="182"/>
      <c r="W33" s="182"/>
      <c r="X33" s="182"/>
      <c r="Y33" s="182"/>
      <c r="Z33" s="182"/>
    </row>
    <row r="35" spans="1:26" ht="35.1" customHeight="1">
      <c r="B35" s="37"/>
      <c r="C35" s="41"/>
      <c r="D35" s="172" t="str">
        <f t="array" aca="1" ref="D35" ca="1">RIGHT(CELL("filename",B1),LEN(CELL("filename",B1))-FIND("]",CELL("filename",B1)))</f>
        <v>Lunch</v>
      </c>
      <c r="E35" s="172"/>
      <c r="F35" s="172"/>
      <c r="G35" s="172"/>
      <c r="H35" s="172"/>
      <c r="I35" s="172"/>
      <c r="J35" s="172"/>
      <c r="K35" s="172"/>
      <c r="L35" s="172"/>
      <c r="M35" s="172"/>
      <c r="N35" s="172"/>
      <c r="O35" s="40" t="s">
        <v>52</v>
      </c>
      <c r="P35" s="37"/>
      <c r="Q35" s="37"/>
      <c r="R35" s="37"/>
      <c r="S35" s="37"/>
      <c r="T35" s="37"/>
      <c r="U35" s="37"/>
      <c r="V35" s="37"/>
      <c r="W35" s="37"/>
      <c r="X35" s="37"/>
      <c r="Y35" s="37"/>
      <c r="Z35" s="37"/>
    </row>
    <row r="37" spans="1:26" ht="18" customHeight="1">
      <c r="H37" s="176" t="s">
        <v>51</v>
      </c>
      <c r="I37" s="173">
        <f>W17</f>
        <v>0</v>
      </c>
      <c r="J37" s="173"/>
      <c r="K37" s="173"/>
      <c r="L37" s="173"/>
      <c r="M37" s="173"/>
      <c r="N37" s="173"/>
      <c r="O37" s="173"/>
      <c r="P37" s="173"/>
      <c r="Q37" s="173"/>
      <c r="R37" s="173"/>
      <c r="S37" s="173"/>
    </row>
    <row r="38" spans="1:26" ht="18" customHeight="1" thickBot="1">
      <c r="H38" s="177"/>
      <c r="I38" s="174"/>
      <c r="J38" s="174"/>
      <c r="K38" s="174"/>
      <c r="L38" s="174"/>
      <c r="M38" s="174"/>
      <c r="N38" s="174"/>
      <c r="O38" s="174"/>
      <c r="P38" s="174"/>
      <c r="Q38" s="174"/>
      <c r="R38" s="174"/>
      <c r="S38" s="174"/>
    </row>
    <row r="39" spans="1:26" ht="18" customHeight="1">
      <c r="E39" s="39"/>
      <c r="F39" s="38"/>
      <c r="G39" s="38"/>
      <c r="H39" s="38"/>
      <c r="I39" s="38"/>
      <c r="J39" s="38"/>
      <c r="K39" s="38"/>
      <c r="L39" s="38"/>
      <c r="M39" s="38"/>
      <c r="N39" s="38"/>
      <c r="O39" s="38"/>
    </row>
    <row r="40" spans="1:26" ht="18" customHeight="1">
      <c r="D40" s="37"/>
      <c r="E40" s="37"/>
      <c r="F40" s="37"/>
      <c r="G40" s="37"/>
      <c r="H40" s="37"/>
      <c r="I40" s="37"/>
      <c r="J40" s="37"/>
      <c r="K40" s="37"/>
      <c r="M40" s="167" t="s">
        <v>50</v>
      </c>
      <c r="N40" s="167"/>
      <c r="O40" s="167"/>
      <c r="P40" s="167"/>
      <c r="Q40" s="167"/>
      <c r="R40" s="167"/>
      <c r="S40" s="167"/>
      <c r="T40" s="167"/>
      <c r="U40" s="167"/>
      <c r="V40" s="167"/>
      <c r="W40" s="167"/>
      <c r="X40" s="167"/>
      <c r="Y40" s="167"/>
      <c r="Z40" s="36"/>
    </row>
    <row r="41" spans="1:26" ht="18" customHeight="1">
      <c r="D41" s="175" t="s">
        <v>49</v>
      </c>
      <c r="E41" s="175"/>
      <c r="F41" s="175"/>
      <c r="G41" s="175"/>
      <c r="H41" s="175"/>
      <c r="I41" s="175"/>
      <c r="J41" s="175"/>
      <c r="K41" s="175"/>
      <c r="L41" s="37"/>
      <c r="N41" s="165" t="s">
        <v>48</v>
      </c>
      <c r="O41" s="165"/>
      <c r="P41" s="165"/>
      <c r="Q41" s="165"/>
      <c r="R41" s="165"/>
      <c r="S41" s="165"/>
      <c r="T41" s="165"/>
      <c r="U41" s="165"/>
      <c r="V41" s="165"/>
      <c r="W41" s="165"/>
      <c r="X41" s="165"/>
      <c r="Y41" s="165"/>
      <c r="Z41" s="36"/>
    </row>
    <row r="42" spans="1:26" ht="18" customHeight="1">
      <c r="L42" s="37"/>
      <c r="M42" s="37"/>
      <c r="N42" s="165" t="s">
        <v>47</v>
      </c>
      <c r="O42" s="165"/>
      <c r="P42" s="165"/>
      <c r="Q42" s="165"/>
      <c r="R42" s="165"/>
      <c r="S42" s="165"/>
      <c r="T42" s="165"/>
      <c r="U42" s="165"/>
      <c r="V42" s="165"/>
      <c r="W42" s="165"/>
      <c r="X42" s="165"/>
      <c r="Y42" s="165"/>
      <c r="Z42" s="36"/>
    </row>
    <row r="43" spans="1:26" ht="18" customHeight="1">
      <c r="D43" s="151"/>
      <c r="E43" s="151"/>
      <c r="F43" s="35"/>
      <c r="G43" s="35" t="s">
        <v>46</v>
      </c>
      <c r="H43" s="35"/>
      <c r="I43" s="35" t="s">
        <v>45</v>
      </c>
      <c r="J43" s="35"/>
      <c r="K43" s="35" t="s">
        <v>44</v>
      </c>
      <c r="N43" s="165" t="s">
        <v>43</v>
      </c>
      <c r="O43" s="165"/>
      <c r="P43" s="165"/>
      <c r="Q43" s="165"/>
      <c r="R43" s="165"/>
      <c r="S43" s="165"/>
      <c r="T43" s="165"/>
      <c r="U43" s="165"/>
      <c r="V43" s="165"/>
      <c r="W43" s="165"/>
      <c r="X43" s="165"/>
      <c r="Y43" s="165"/>
    </row>
  </sheetData>
  <sheetProtection formatCells="0" formatColumns="0" formatRows="0" insertColumns="0" insertRows="0" insertHyperlinks="0" deleteColumns="0" deleteRows="0" sort="0" autoFilter="0" pivotTables="0"/>
  <mergeCells count="51">
    <mergeCell ref="W16:Y16"/>
    <mergeCell ref="E13:P13"/>
    <mergeCell ref="Q16:S16"/>
    <mergeCell ref="C15:D15"/>
    <mergeCell ref="C13:D13"/>
    <mergeCell ref="T16:V16"/>
    <mergeCell ref="T13:V13"/>
    <mergeCell ref="C14:D14"/>
    <mergeCell ref="T14:V14"/>
    <mergeCell ref="C16:D16"/>
    <mergeCell ref="N43:Y43"/>
    <mergeCell ref="D35:N35"/>
    <mergeCell ref="M21:Y21"/>
    <mergeCell ref="M40:Y40"/>
    <mergeCell ref="I37:S38"/>
    <mergeCell ref="N23:Y23"/>
    <mergeCell ref="N42:Y42"/>
    <mergeCell ref="E31:F31"/>
    <mergeCell ref="D41:K41"/>
    <mergeCell ref="H37:H38"/>
    <mergeCell ref="N22:Y22"/>
    <mergeCell ref="D43:E43"/>
    <mergeCell ref="N41:Y41"/>
    <mergeCell ref="A33:Z33"/>
    <mergeCell ref="Q13:S13"/>
    <mergeCell ref="Q15:S15"/>
    <mergeCell ref="M6:Y6"/>
    <mergeCell ref="K5:L6"/>
    <mergeCell ref="N8:Y8"/>
    <mergeCell ref="E15:P15"/>
    <mergeCell ref="E11:I11"/>
    <mergeCell ref="W13:Y13"/>
    <mergeCell ref="E14:P14"/>
    <mergeCell ref="T15:V15"/>
    <mergeCell ref="W15:Y15"/>
    <mergeCell ref="B1:C1"/>
    <mergeCell ref="D9:K9"/>
    <mergeCell ref="E19:F19"/>
    <mergeCell ref="D21:I21"/>
    <mergeCell ref="D23:E23"/>
    <mergeCell ref="D1:I1"/>
    <mergeCell ref="E16:P16"/>
    <mergeCell ref="A2:Z3"/>
    <mergeCell ref="J10:P11"/>
    <mergeCell ref="W14:Y14"/>
    <mergeCell ref="S1:Y1"/>
    <mergeCell ref="D5:J6"/>
    <mergeCell ref="Q17:V17"/>
    <mergeCell ref="W17:Y17"/>
    <mergeCell ref="Q14:S14"/>
    <mergeCell ref="N7:Y7"/>
  </mergeCells>
  <phoneticPr fontId="1"/>
  <dataValidations count="1">
    <dataValidation allowBlank="1" showErrorMessage="1" sqref="B5:C5 IX5:IY5 ST5:SU5 ACP5:ACQ5 AML5:AMM5 AWH5:AWI5 BGD5:BGE5 BPZ5:BQA5 BZV5:BZW5 CJR5:CJS5 CTN5:CTO5 DDJ5:DDK5 DNF5:DNG5 DXB5:DXC5 EGX5:EGY5 EQT5:EQU5 FAP5:FAQ5 FKL5:FKM5 FUH5:FUI5 GED5:GEE5 GNZ5:GOA5 GXV5:GXW5 HHR5:HHS5 HRN5:HRO5 IBJ5:IBK5 ILF5:ILG5 IVB5:IVC5 JEX5:JEY5 JOT5:JOU5 JYP5:JYQ5 KIL5:KIM5 KSH5:KSI5 LCD5:LCE5 LLZ5:LMA5 LVV5:LVW5 MFR5:MFS5 MPN5:MPO5 MZJ5:MZK5 NJF5:NJG5 NTB5:NTC5 OCX5:OCY5 OMT5:OMU5 OWP5:OWQ5 PGL5:PGM5 PQH5:PQI5 QAD5:QAE5 QJZ5:QKA5 QTV5:QTW5 RDR5:RDS5 RNN5:RNO5 RXJ5:RXK5 SHF5:SHG5 SRB5:SRC5 TAX5:TAY5 TKT5:TKU5 TUP5:TUQ5 UEL5:UEM5 UOH5:UOI5 UYD5:UYE5 VHZ5:VIA5 VRV5:VRW5 WBR5:WBS5 WLN5:WLO5 WVJ5:WVK5 B65541:C65541 IX65541:IY65541 ST65541:SU65541 ACP65541:ACQ65541 AML65541:AMM65541 AWH65541:AWI65541 BGD65541:BGE65541 BPZ65541:BQA65541 BZV65541:BZW65541 CJR65541:CJS65541 CTN65541:CTO65541 DDJ65541:DDK65541 DNF65541:DNG65541 DXB65541:DXC65541 EGX65541:EGY65541 EQT65541:EQU65541 FAP65541:FAQ65541 FKL65541:FKM65541 FUH65541:FUI65541 GED65541:GEE65541 GNZ65541:GOA65541 GXV65541:GXW65541 HHR65541:HHS65541 HRN65541:HRO65541 IBJ65541:IBK65541 ILF65541:ILG65541 IVB65541:IVC65541 JEX65541:JEY65541 JOT65541:JOU65541 JYP65541:JYQ65541 KIL65541:KIM65541 KSH65541:KSI65541 LCD65541:LCE65541 LLZ65541:LMA65541 LVV65541:LVW65541 MFR65541:MFS65541 MPN65541:MPO65541 MZJ65541:MZK65541 NJF65541:NJG65541 NTB65541:NTC65541 OCX65541:OCY65541 OMT65541:OMU65541 OWP65541:OWQ65541 PGL65541:PGM65541 PQH65541:PQI65541 QAD65541:QAE65541 QJZ65541:QKA65541 QTV65541:QTW65541 RDR65541:RDS65541 RNN65541:RNO65541 RXJ65541:RXK65541 SHF65541:SHG65541 SRB65541:SRC65541 TAX65541:TAY65541 TKT65541:TKU65541 TUP65541:TUQ65541 UEL65541:UEM65541 UOH65541:UOI65541 UYD65541:UYE65541 VHZ65541:VIA65541 VRV65541:VRW65541 WBR65541:WBS65541 WLN65541:WLO65541 WVJ65541:WVK65541 B131077:C131077 IX131077:IY131077 ST131077:SU131077 ACP131077:ACQ131077 AML131077:AMM131077 AWH131077:AWI131077 BGD131077:BGE131077 BPZ131077:BQA131077 BZV131077:BZW131077 CJR131077:CJS131077 CTN131077:CTO131077 DDJ131077:DDK131077 DNF131077:DNG131077 DXB131077:DXC131077 EGX131077:EGY131077 EQT131077:EQU131077 FAP131077:FAQ131077 FKL131077:FKM131077 FUH131077:FUI131077 GED131077:GEE131077 GNZ131077:GOA131077 GXV131077:GXW131077 HHR131077:HHS131077 HRN131077:HRO131077 IBJ131077:IBK131077 ILF131077:ILG131077 IVB131077:IVC131077 JEX131077:JEY131077 JOT131077:JOU131077 JYP131077:JYQ131077 KIL131077:KIM131077 KSH131077:KSI131077 LCD131077:LCE131077 LLZ131077:LMA131077 LVV131077:LVW131077 MFR131077:MFS131077 MPN131077:MPO131077 MZJ131077:MZK131077 NJF131077:NJG131077 NTB131077:NTC131077 OCX131077:OCY131077 OMT131077:OMU131077 OWP131077:OWQ131077 PGL131077:PGM131077 PQH131077:PQI131077 QAD131077:QAE131077 QJZ131077:QKA131077 QTV131077:QTW131077 RDR131077:RDS131077 RNN131077:RNO131077 RXJ131077:RXK131077 SHF131077:SHG131077 SRB131077:SRC131077 TAX131077:TAY131077 TKT131077:TKU131077 TUP131077:TUQ131077 UEL131077:UEM131077 UOH131077:UOI131077 UYD131077:UYE131077 VHZ131077:VIA131077 VRV131077:VRW131077 WBR131077:WBS131077 WLN131077:WLO131077 WVJ131077:WVK131077 B196613:C196613 IX196613:IY196613 ST196613:SU196613 ACP196613:ACQ196613 AML196613:AMM196613 AWH196613:AWI196613 BGD196613:BGE196613 BPZ196613:BQA196613 BZV196613:BZW196613 CJR196613:CJS196613 CTN196613:CTO196613 DDJ196613:DDK196613 DNF196613:DNG196613 DXB196613:DXC196613 EGX196613:EGY196613 EQT196613:EQU196613 FAP196613:FAQ196613 FKL196613:FKM196613 FUH196613:FUI196613 GED196613:GEE196613 GNZ196613:GOA196613 GXV196613:GXW196613 HHR196613:HHS196613 HRN196613:HRO196613 IBJ196613:IBK196613 ILF196613:ILG196613 IVB196613:IVC196613 JEX196613:JEY196613 JOT196613:JOU196613 JYP196613:JYQ196613 KIL196613:KIM196613 KSH196613:KSI196613 LCD196613:LCE196613 LLZ196613:LMA196613 LVV196613:LVW196613 MFR196613:MFS196613 MPN196613:MPO196613 MZJ196613:MZK196613 NJF196613:NJG196613 NTB196613:NTC196613 OCX196613:OCY196613 OMT196613:OMU196613 OWP196613:OWQ196613 PGL196613:PGM196613 PQH196613:PQI196613 QAD196613:QAE196613 QJZ196613:QKA196613 QTV196613:QTW196613 RDR196613:RDS196613 RNN196613:RNO196613 RXJ196613:RXK196613 SHF196613:SHG196613 SRB196613:SRC196613 TAX196613:TAY196613 TKT196613:TKU196613 TUP196613:TUQ196613 UEL196613:UEM196613 UOH196613:UOI196613 UYD196613:UYE196613 VHZ196613:VIA196613 VRV196613:VRW196613 WBR196613:WBS196613 WLN196613:WLO196613 WVJ196613:WVK196613 B262149:C262149 IX262149:IY262149 ST262149:SU262149 ACP262149:ACQ262149 AML262149:AMM262149 AWH262149:AWI262149 BGD262149:BGE262149 BPZ262149:BQA262149 BZV262149:BZW262149 CJR262149:CJS262149 CTN262149:CTO262149 DDJ262149:DDK262149 DNF262149:DNG262149 DXB262149:DXC262149 EGX262149:EGY262149 EQT262149:EQU262149 FAP262149:FAQ262149 FKL262149:FKM262149 FUH262149:FUI262149 GED262149:GEE262149 GNZ262149:GOA262149 GXV262149:GXW262149 HHR262149:HHS262149 HRN262149:HRO262149 IBJ262149:IBK262149 ILF262149:ILG262149 IVB262149:IVC262149 JEX262149:JEY262149 JOT262149:JOU262149 JYP262149:JYQ262149 KIL262149:KIM262149 KSH262149:KSI262149 LCD262149:LCE262149 LLZ262149:LMA262149 LVV262149:LVW262149 MFR262149:MFS262149 MPN262149:MPO262149 MZJ262149:MZK262149 NJF262149:NJG262149 NTB262149:NTC262149 OCX262149:OCY262149 OMT262149:OMU262149 OWP262149:OWQ262149 PGL262149:PGM262149 PQH262149:PQI262149 QAD262149:QAE262149 QJZ262149:QKA262149 QTV262149:QTW262149 RDR262149:RDS262149 RNN262149:RNO262149 RXJ262149:RXK262149 SHF262149:SHG262149 SRB262149:SRC262149 TAX262149:TAY262149 TKT262149:TKU262149 TUP262149:TUQ262149 UEL262149:UEM262149 UOH262149:UOI262149 UYD262149:UYE262149 VHZ262149:VIA262149 VRV262149:VRW262149 WBR262149:WBS262149 WLN262149:WLO262149 WVJ262149:WVK262149 B327685:C327685 IX327685:IY327685 ST327685:SU327685 ACP327685:ACQ327685 AML327685:AMM327685 AWH327685:AWI327685 BGD327685:BGE327685 BPZ327685:BQA327685 BZV327685:BZW327685 CJR327685:CJS327685 CTN327685:CTO327685 DDJ327685:DDK327685 DNF327685:DNG327685 DXB327685:DXC327685 EGX327685:EGY327685 EQT327685:EQU327685 FAP327685:FAQ327685 FKL327685:FKM327685 FUH327685:FUI327685 GED327685:GEE327685 GNZ327685:GOA327685 GXV327685:GXW327685 HHR327685:HHS327685 HRN327685:HRO327685 IBJ327685:IBK327685 ILF327685:ILG327685 IVB327685:IVC327685 JEX327685:JEY327685 JOT327685:JOU327685 JYP327685:JYQ327685 KIL327685:KIM327685 KSH327685:KSI327685 LCD327685:LCE327685 LLZ327685:LMA327685 LVV327685:LVW327685 MFR327685:MFS327685 MPN327685:MPO327685 MZJ327685:MZK327685 NJF327685:NJG327685 NTB327685:NTC327685 OCX327685:OCY327685 OMT327685:OMU327685 OWP327685:OWQ327685 PGL327685:PGM327685 PQH327685:PQI327685 QAD327685:QAE327685 QJZ327685:QKA327685 QTV327685:QTW327685 RDR327685:RDS327685 RNN327685:RNO327685 RXJ327685:RXK327685 SHF327685:SHG327685 SRB327685:SRC327685 TAX327685:TAY327685 TKT327685:TKU327685 TUP327685:TUQ327685 UEL327685:UEM327685 UOH327685:UOI327685 UYD327685:UYE327685 VHZ327685:VIA327685 VRV327685:VRW327685 WBR327685:WBS327685 WLN327685:WLO327685 WVJ327685:WVK327685 B393221:C393221 IX393221:IY393221 ST393221:SU393221 ACP393221:ACQ393221 AML393221:AMM393221 AWH393221:AWI393221 BGD393221:BGE393221 BPZ393221:BQA393221 BZV393221:BZW393221 CJR393221:CJS393221 CTN393221:CTO393221 DDJ393221:DDK393221 DNF393221:DNG393221 DXB393221:DXC393221 EGX393221:EGY393221 EQT393221:EQU393221 FAP393221:FAQ393221 FKL393221:FKM393221 FUH393221:FUI393221 GED393221:GEE393221 GNZ393221:GOA393221 GXV393221:GXW393221 HHR393221:HHS393221 HRN393221:HRO393221 IBJ393221:IBK393221 ILF393221:ILG393221 IVB393221:IVC393221 JEX393221:JEY393221 JOT393221:JOU393221 JYP393221:JYQ393221 KIL393221:KIM393221 KSH393221:KSI393221 LCD393221:LCE393221 LLZ393221:LMA393221 LVV393221:LVW393221 MFR393221:MFS393221 MPN393221:MPO393221 MZJ393221:MZK393221 NJF393221:NJG393221 NTB393221:NTC393221 OCX393221:OCY393221 OMT393221:OMU393221 OWP393221:OWQ393221 PGL393221:PGM393221 PQH393221:PQI393221 QAD393221:QAE393221 QJZ393221:QKA393221 QTV393221:QTW393221 RDR393221:RDS393221 RNN393221:RNO393221 RXJ393221:RXK393221 SHF393221:SHG393221 SRB393221:SRC393221 TAX393221:TAY393221 TKT393221:TKU393221 TUP393221:TUQ393221 UEL393221:UEM393221 UOH393221:UOI393221 UYD393221:UYE393221 VHZ393221:VIA393221 VRV393221:VRW393221 WBR393221:WBS393221 WLN393221:WLO393221 WVJ393221:WVK393221 B458757:C458757 IX458757:IY458757 ST458757:SU458757 ACP458757:ACQ458757 AML458757:AMM458757 AWH458757:AWI458757 BGD458757:BGE458757 BPZ458757:BQA458757 BZV458757:BZW458757 CJR458757:CJS458757 CTN458757:CTO458757 DDJ458757:DDK458757 DNF458757:DNG458757 DXB458757:DXC458757 EGX458757:EGY458757 EQT458757:EQU458757 FAP458757:FAQ458757 FKL458757:FKM458757 FUH458757:FUI458757 GED458757:GEE458757 GNZ458757:GOA458757 GXV458757:GXW458757 HHR458757:HHS458757 HRN458757:HRO458757 IBJ458757:IBK458757 ILF458757:ILG458757 IVB458757:IVC458757 JEX458757:JEY458757 JOT458757:JOU458757 JYP458757:JYQ458757 KIL458757:KIM458757 KSH458757:KSI458757 LCD458757:LCE458757 LLZ458757:LMA458757 LVV458757:LVW458757 MFR458757:MFS458757 MPN458757:MPO458757 MZJ458757:MZK458757 NJF458757:NJG458757 NTB458757:NTC458757 OCX458757:OCY458757 OMT458757:OMU458757 OWP458757:OWQ458757 PGL458757:PGM458757 PQH458757:PQI458757 QAD458757:QAE458757 QJZ458757:QKA458757 QTV458757:QTW458757 RDR458757:RDS458757 RNN458757:RNO458757 RXJ458757:RXK458757 SHF458757:SHG458757 SRB458757:SRC458757 TAX458757:TAY458757 TKT458757:TKU458757 TUP458757:TUQ458757 UEL458757:UEM458757 UOH458757:UOI458757 UYD458757:UYE458757 VHZ458757:VIA458757 VRV458757:VRW458757 WBR458757:WBS458757 WLN458757:WLO458757 WVJ458757:WVK458757 B524293:C524293 IX524293:IY524293 ST524293:SU524293 ACP524293:ACQ524293 AML524293:AMM524293 AWH524293:AWI524293 BGD524293:BGE524293 BPZ524293:BQA524293 BZV524293:BZW524293 CJR524293:CJS524293 CTN524293:CTO524293 DDJ524293:DDK524293 DNF524293:DNG524293 DXB524293:DXC524293 EGX524293:EGY524293 EQT524293:EQU524293 FAP524293:FAQ524293 FKL524293:FKM524293 FUH524293:FUI524293 GED524293:GEE524293 GNZ524293:GOA524293 GXV524293:GXW524293 HHR524293:HHS524293 HRN524293:HRO524293 IBJ524293:IBK524293 ILF524293:ILG524293 IVB524293:IVC524293 JEX524293:JEY524293 JOT524293:JOU524293 JYP524293:JYQ524293 KIL524293:KIM524293 KSH524293:KSI524293 LCD524293:LCE524293 LLZ524293:LMA524293 LVV524293:LVW524293 MFR524293:MFS524293 MPN524293:MPO524293 MZJ524293:MZK524293 NJF524293:NJG524293 NTB524293:NTC524293 OCX524293:OCY524293 OMT524293:OMU524293 OWP524293:OWQ524293 PGL524293:PGM524293 PQH524293:PQI524293 QAD524293:QAE524293 QJZ524293:QKA524293 QTV524293:QTW524293 RDR524293:RDS524293 RNN524293:RNO524293 RXJ524293:RXK524293 SHF524293:SHG524293 SRB524293:SRC524293 TAX524293:TAY524293 TKT524293:TKU524293 TUP524293:TUQ524293 UEL524293:UEM524293 UOH524293:UOI524293 UYD524293:UYE524293 VHZ524293:VIA524293 VRV524293:VRW524293 WBR524293:WBS524293 WLN524293:WLO524293 WVJ524293:WVK524293 B589829:C589829 IX589829:IY589829 ST589829:SU589829 ACP589829:ACQ589829 AML589829:AMM589829 AWH589829:AWI589829 BGD589829:BGE589829 BPZ589829:BQA589829 BZV589829:BZW589829 CJR589829:CJS589829 CTN589829:CTO589829 DDJ589829:DDK589829 DNF589829:DNG589829 DXB589829:DXC589829 EGX589829:EGY589829 EQT589829:EQU589829 FAP589829:FAQ589829 FKL589829:FKM589829 FUH589829:FUI589829 GED589829:GEE589829 GNZ589829:GOA589829 GXV589829:GXW589829 HHR589829:HHS589829 HRN589829:HRO589829 IBJ589829:IBK589829 ILF589829:ILG589829 IVB589829:IVC589829 JEX589829:JEY589829 JOT589829:JOU589829 JYP589829:JYQ589829 KIL589829:KIM589829 KSH589829:KSI589829 LCD589829:LCE589829 LLZ589829:LMA589829 LVV589829:LVW589829 MFR589829:MFS589829 MPN589829:MPO589829 MZJ589829:MZK589829 NJF589829:NJG589829 NTB589829:NTC589829 OCX589829:OCY589829 OMT589829:OMU589829 OWP589829:OWQ589829 PGL589829:PGM589829 PQH589829:PQI589829 QAD589829:QAE589829 QJZ589829:QKA589829 QTV589829:QTW589829 RDR589829:RDS589829 RNN589829:RNO589829 RXJ589829:RXK589829 SHF589829:SHG589829 SRB589829:SRC589829 TAX589829:TAY589829 TKT589829:TKU589829 TUP589829:TUQ589829 UEL589829:UEM589829 UOH589829:UOI589829 UYD589829:UYE589829 VHZ589829:VIA589829 VRV589829:VRW589829 WBR589829:WBS589829 WLN589829:WLO589829 WVJ589829:WVK589829 B655365:C655365 IX655365:IY655365 ST655365:SU655365 ACP655365:ACQ655365 AML655365:AMM655365 AWH655365:AWI655365 BGD655365:BGE655365 BPZ655365:BQA655365 BZV655365:BZW655365 CJR655365:CJS655365 CTN655365:CTO655365 DDJ655365:DDK655365 DNF655365:DNG655365 DXB655365:DXC655365 EGX655365:EGY655365 EQT655365:EQU655365 FAP655365:FAQ655365 FKL655365:FKM655365 FUH655365:FUI655365 GED655365:GEE655365 GNZ655365:GOA655365 GXV655365:GXW655365 HHR655365:HHS655365 HRN655365:HRO655365 IBJ655365:IBK655365 ILF655365:ILG655365 IVB655365:IVC655365 JEX655365:JEY655365 JOT655365:JOU655365 JYP655365:JYQ655365 KIL655365:KIM655365 KSH655365:KSI655365 LCD655365:LCE655365 LLZ655365:LMA655365 LVV655365:LVW655365 MFR655365:MFS655365 MPN655365:MPO655365 MZJ655365:MZK655365 NJF655365:NJG655365 NTB655365:NTC655365 OCX655365:OCY655365 OMT655365:OMU655365 OWP655365:OWQ655365 PGL655365:PGM655365 PQH655365:PQI655365 QAD655365:QAE655365 QJZ655365:QKA655365 QTV655365:QTW655365 RDR655365:RDS655365 RNN655365:RNO655365 RXJ655365:RXK655365 SHF655365:SHG655365 SRB655365:SRC655365 TAX655365:TAY655365 TKT655365:TKU655365 TUP655365:TUQ655365 UEL655365:UEM655365 UOH655365:UOI655365 UYD655365:UYE655365 VHZ655365:VIA655365 VRV655365:VRW655365 WBR655365:WBS655365 WLN655365:WLO655365 WVJ655365:WVK655365 B720901:C720901 IX720901:IY720901 ST720901:SU720901 ACP720901:ACQ720901 AML720901:AMM720901 AWH720901:AWI720901 BGD720901:BGE720901 BPZ720901:BQA720901 BZV720901:BZW720901 CJR720901:CJS720901 CTN720901:CTO720901 DDJ720901:DDK720901 DNF720901:DNG720901 DXB720901:DXC720901 EGX720901:EGY720901 EQT720901:EQU720901 FAP720901:FAQ720901 FKL720901:FKM720901 FUH720901:FUI720901 GED720901:GEE720901 GNZ720901:GOA720901 GXV720901:GXW720901 HHR720901:HHS720901 HRN720901:HRO720901 IBJ720901:IBK720901 ILF720901:ILG720901 IVB720901:IVC720901 JEX720901:JEY720901 JOT720901:JOU720901 JYP720901:JYQ720901 KIL720901:KIM720901 KSH720901:KSI720901 LCD720901:LCE720901 LLZ720901:LMA720901 LVV720901:LVW720901 MFR720901:MFS720901 MPN720901:MPO720901 MZJ720901:MZK720901 NJF720901:NJG720901 NTB720901:NTC720901 OCX720901:OCY720901 OMT720901:OMU720901 OWP720901:OWQ720901 PGL720901:PGM720901 PQH720901:PQI720901 QAD720901:QAE720901 QJZ720901:QKA720901 QTV720901:QTW720901 RDR720901:RDS720901 RNN720901:RNO720901 RXJ720901:RXK720901 SHF720901:SHG720901 SRB720901:SRC720901 TAX720901:TAY720901 TKT720901:TKU720901 TUP720901:TUQ720901 UEL720901:UEM720901 UOH720901:UOI720901 UYD720901:UYE720901 VHZ720901:VIA720901 VRV720901:VRW720901 WBR720901:WBS720901 WLN720901:WLO720901 WVJ720901:WVK720901 B786437:C786437 IX786437:IY786437 ST786437:SU786437 ACP786437:ACQ786437 AML786437:AMM786437 AWH786437:AWI786437 BGD786437:BGE786437 BPZ786437:BQA786437 BZV786437:BZW786437 CJR786437:CJS786437 CTN786437:CTO786437 DDJ786437:DDK786437 DNF786437:DNG786437 DXB786437:DXC786437 EGX786437:EGY786437 EQT786437:EQU786437 FAP786437:FAQ786437 FKL786437:FKM786437 FUH786437:FUI786437 GED786437:GEE786437 GNZ786437:GOA786437 GXV786437:GXW786437 HHR786437:HHS786437 HRN786437:HRO786437 IBJ786437:IBK786437 ILF786437:ILG786437 IVB786437:IVC786437 JEX786437:JEY786437 JOT786437:JOU786437 JYP786437:JYQ786437 KIL786437:KIM786437 KSH786437:KSI786437 LCD786437:LCE786437 LLZ786437:LMA786437 LVV786437:LVW786437 MFR786437:MFS786437 MPN786437:MPO786437 MZJ786437:MZK786437 NJF786437:NJG786437 NTB786437:NTC786437 OCX786437:OCY786437 OMT786437:OMU786437 OWP786437:OWQ786437 PGL786437:PGM786437 PQH786437:PQI786437 QAD786437:QAE786437 QJZ786437:QKA786437 QTV786437:QTW786437 RDR786437:RDS786437 RNN786437:RNO786437 RXJ786437:RXK786437 SHF786437:SHG786437 SRB786437:SRC786437 TAX786437:TAY786437 TKT786437:TKU786437 TUP786437:TUQ786437 UEL786437:UEM786437 UOH786437:UOI786437 UYD786437:UYE786437 VHZ786437:VIA786437 VRV786437:VRW786437 WBR786437:WBS786437 WLN786437:WLO786437 WVJ786437:WVK786437 B851973:C851973 IX851973:IY851973 ST851973:SU851973 ACP851973:ACQ851973 AML851973:AMM851973 AWH851973:AWI851973 BGD851973:BGE851973 BPZ851973:BQA851973 BZV851973:BZW851973 CJR851973:CJS851973 CTN851973:CTO851973 DDJ851973:DDK851973 DNF851973:DNG851973 DXB851973:DXC851973 EGX851973:EGY851973 EQT851973:EQU851973 FAP851973:FAQ851973 FKL851973:FKM851973 FUH851973:FUI851973 GED851973:GEE851973 GNZ851973:GOA851973 GXV851973:GXW851973 HHR851973:HHS851973 HRN851973:HRO851973 IBJ851973:IBK851973 ILF851973:ILG851973 IVB851973:IVC851973 JEX851973:JEY851973 JOT851973:JOU851973 JYP851973:JYQ851973 KIL851973:KIM851973 KSH851973:KSI851973 LCD851973:LCE851973 LLZ851973:LMA851973 LVV851973:LVW851973 MFR851973:MFS851973 MPN851973:MPO851973 MZJ851973:MZK851973 NJF851973:NJG851973 NTB851973:NTC851973 OCX851973:OCY851973 OMT851973:OMU851973 OWP851973:OWQ851973 PGL851973:PGM851973 PQH851973:PQI851973 QAD851973:QAE851973 QJZ851973:QKA851973 QTV851973:QTW851973 RDR851973:RDS851973 RNN851973:RNO851973 RXJ851973:RXK851973 SHF851973:SHG851973 SRB851973:SRC851973 TAX851973:TAY851973 TKT851973:TKU851973 TUP851973:TUQ851973 UEL851973:UEM851973 UOH851973:UOI851973 UYD851973:UYE851973 VHZ851973:VIA851973 VRV851973:VRW851973 WBR851973:WBS851973 WLN851973:WLO851973 WVJ851973:WVK851973 B917509:C917509 IX917509:IY917509 ST917509:SU917509 ACP917509:ACQ917509 AML917509:AMM917509 AWH917509:AWI917509 BGD917509:BGE917509 BPZ917509:BQA917509 BZV917509:BZW917509 CJR917509:CJS917509 CTN917509:CTO917509 DDJ917509:DDK917509 DNF917509:DNG917509 DXB917509:DXC917509 EGX917509:EGY917509 EQT917509:EQU917509 FAP917509:FAQ917509 FKL917509:FKM917509 FUH917509:FUI917509 GED917509:GEE917509 GNZ917509:GOA917509 GXV917509:GXW917509 HHR917509:HHS917509 HRN917509:HRO917509 IBJ917509:IBK917509 ILF917509:ILG917509 IVB917509:IVC917509 JEX917509:JEY917509 JOT917509:JOU917509 JYP917509:JYQ917509 KIL917509:KIM917509 KSH917509:KSI917509 LCD917509:LCE917509 LLZ917509:LMA917509 LVV917509:LVW917509 MFR917509:MFS917509 MPN917509:MPO917509 MZJ917509:MZK917509 NJF917509:NJG917509 NTB917509:NTC917509 OCX917509:OCY917509 OMT917509:OMU917509 OWP917509:OWQ917509 PGL917509:PGM917509 PQH917509:PQI917509 QAD917509:QAE917509 QJZ917509:QKA917509 QTV917509:QTW917509 RDR917509:RDS917509 RNN917509:RNO917509 RXJ917509:RXK917509 SHF917509:SHG917509 SRB917509:SRC917509 TAX917509:TAY917509 TKT917509:TKU917509 TUP917509:TUQ917509 UEL917509:UEM917509 UOH917509:UOI917509 UYD917509:UYE917509 VHZ917509:VIA917509 VRV917509:VRW917509 WBR917509:WBS917509 WLN917509:WLO917509 WVJ917509:WVK917509 B983045:C983045 IX983045:IY983045 ST983045:SU983045 ACP983045:ACQ983045 AML983045:AMM983045 AWH983045:AWI983045 BGD983045:BGE983045 BPZ983045:BQA983045 BZV983045:BZW983045 CJR983045:CJS983045 CTN983045:CTO983045 DDJ983045:DDK983045 DNF983045:DNG983045 DXB983045:DXC983045 EGX983045:EGY983045 EQT983045:EQU983045 FAP983045:FAQ983045 FKL983045:FKM983045 FUH983045:FUI983045 GED983045:GEE983045 GNZ983045:GOA983045 GXV983045:GXW983045 HHR983045:HHS983045 HRN983045:HRO983045 IBJ983045:IBK983045 ILF983045:ILG983045 IVB983045:IVC983045 JEX983045:JEY983045 JOT983045:JOU983045 JYP983045:JYQ983045 KIL983045:KIM983045 KSH983045:KSI983045 LCD983045:LCE983045 LLZ983045:LMA983045 LVV983045:LVW983045 MFR983045:MFS983045 MPN983045:MPO983045 MZJ983045:MZK983045 NJF983045:NJG983045 NTB983045:NTC983045 OCX983045:OCY983045 OMT983045:OMU983045 OWP983045:OWQ983045 PGL983045:PGM983045 PQH983045:PQI983045 QAD983045:QAE983045 QJZ983045:QKA983045 QTV983045:QTW983045 RDR983045:RDS983045 RNN983045:RNO983045 RXJ983045:RXK983045 SHF983045:SHG983045 SRB983045:SRC983045 TAX983045:TAY983045 TKT983045:TKU983045 TUP983045:TUQ983045 UEL983045:UEM983045 UOH983045:UOI983045 UYD983045:UYE983045 VHZ983045:VIA983045 VRV983045:VRW983045 WBR983045:WBS983045 WLN983045:WLO983045 WVJ983045:WVK983045 E14:E16 JA14:JA16 SW14:SW16 ACS14:ACS16 AMO14:AMO16 AWK14:AWK16 BGG14:BGG16 BQC14:BQC16 BZY14:BZY16 CJU14:CJU16 CTQ14:CTQ16 DDM14:DDM16 DNI14:DNI16 DXE14:DXE16 EHA14:EHA16 EQW14:EQW16 FAS14:FAS16 FKO14:FKO16 FUK14:FUK16 GEG14:GEG16 GOC14:GOC16 GXY14:GXY16 HHU14:HHU16 HRQ14:HRQ16 IBM14:IBM16 ILI14:ILI16 IVE14:IVE16 JFA14:JFA16 JOW14:JOW16 JYS14:JYS16 KIO14:KIO16 KSK14:KSK16 LCG14:LCG16 LMC14:LMC16 LVY14:LVY16 MFU14:MFU16 MPQ14:MPQ16 MZM14:MZM16 NJI14:NJI16 NTE14:NTE16 ODA14:ODA16 OMW14:OMW16 OWS14:OWS16 PGO14:PGO16 PQK14:PQK16 QAG14:QAG16 QKC14:QKC16 QTY14:QTY16 RDU14:RDU16 RNQ14:RNQ16 RXM14:RXM16 SHI14:SHI16 SRE14:SRE16 TBA14:TBA16 TKW14:TKW16 TUS14:TUS16 UEO14:UEO16 UOK14:UOK16 UYG14:UYG16 VIC14:VIC16 VRY14:VRY16 WBU14:WBU16 WLQ14:WLQ16 WVM14:WVM16 E65550:E65552 JA65550:JA65552 SW65550:SW65552 ACS65550:ACS65552 AMO65550:AMO65552 AWK65550:AWK65552 BGG65550:BGG65552 BQC65550:BQC65552 BZY65550:BZY65552 CJU65550:CJU65552 CTQ65550:CTQ65552 DDM65550:DDM65552 DNI65550:DNI65552 DXE65550:DXE65552 EHA65550:EHA65552 EQW65550:EQW65552 FAS65550:FAS65552 FKO65550:FKO65552 FUK65550:FUK65552 GEG65550:GEG65552 GOC65550:GOC65552 GXY65550:GXY65552 HHU65550:HHU65552 HRQ65550:HRQ65552 IBM65550:IBM65552 ILI65550:ILI65552 IVE65550:IVE65552 JFA65550:JFA65552 JOW65550:JOW65552 JYS65550:JYS65552 KIO65550:KIO65552 KSK65550:KSK65552 LCG65550:LCG65552 LMC65550:LMC65552 LVY65550:LVY65552 MFU65550:MFU65552 MPQ65550:MPQ65552 MZM65550:MZM65552 NJI65550:NJI65552 NTE65550:NTE65552 ODA65550:ODA65552 OMW65550:OMW65552 OWS65550:OWS65552 PGO65550:PGO65552 PQK65550:PQK65552 QAG65550:QAG65552 QKC65550:QKC65552 QTY65550:QTY65552 RDU65550:RDU65552 RNQ65550:RNQ65552 RXM65550:RXM65552 SHI65550:SHI65552 SRE65550:SRE65552 TBA65550:TBA65552 TKW65550:TKW65552 TUS65550:TUS65552 UEO65550:UEO65552 UOK65550:UOK65552 UYG65550:UYG65552 VIC65550:VIC65552 VRY65550:VRY65552 WBU65550:WBU65552 WLQ65550:WLQ65552 WVM65550:WVM65552 E131086:E131088 JA131086:JA131088 SW131086:SW131088 ACS131086:ACS131088 AMO131086:AMO131088 AWK131086:AWK131088 BGG131086:BGG131088 BQC131086:BQC131088 BZY131086:BZY131088 CJU131086:CJU131088 CTQ131086:CTQ131088 DDM131086:DDM131088 DNI131086:DNI131088 DXE131086:DXE131088 EHA131086:EHA131088 EQW131086:EQW131088 FAS131086:FAS131088 FKO131086:FKO131088 FUK131086:FUK131088 GEG131086:GEG131088 GOC131086:GOC131088 GXY131086:GXY131088 HHU131086:HHU131088 HRQ131086:HRQ131088 IBM131086:IBM131088 ILI131086:ILI131088 IVE131086:IVE131088 JFA131086:JFA131088 JOW131086:JOW131088 JYS131086:JYS131088 KIO131086:KIO131088 KSK131086:KSK131088 LCG131086:LCG131088 LMC131086:LMC131088 LVY131086:LVY131088 MFU131086:MFU131088 MPQ131086:MPQ131088 MZM131086:MZM131088 NJI131086:NJI131088 NTE131086:NTE131088 ODA131086:ODA131088 OMW131086:OMW131088 OWS131086:OWS131088 PGO131086:PGO131088 PQK131086:PQK131088 QAG131086:QAG131088 QKC131086:QKC131088 QTY131086:QTY131088 RDU131086:RDU131088 RNQ131086:RNQ131088 RXM131086:RXM131088 SHI131086:SHI131088 SRE131086:SRE131088 TBA131086:TBA131088 TKW131086:TKW131088 TUS131086:TUS131088 UEO131086:UEO131088 UOK131086:UOK131088 UYG131086:UYG131088 VIC131086:VIC131088 VRY131086:VRY131088 WBU131086:WBU131088 WLQ131086:WLQ131088 WVM131086:WVM131088 E196622:E196624 JA196622:JA196624 SW196622:SW196624 ACS196622:ACS196624 AMO196622:AMO196624 AWK196622:AWK196624 BGG196622:BGG196624 BQC196622:BQC196624 BZY196622:BZY196624 CJU196622:CJU196624 CTQ196622:CTQ196624 DDM196622:DDM196624 DNI196622:DNI196624 DXE196622:DXE196624 EHA196622:EHA196624 EQW196622:EQW196624 FAS196622:FAS196624 FKO196622:FKO196624 FUK196622:FUK196624 GEG196622:GEG196624 GOC196622:GOC196624 GXY196622:GXY196624 HHU196622:HHU196624 HRQ196622:HRQ196624 IBM196622:IBM196624 ILI196622:ILI196624 IVE196622:IVE196624 JFA196622:JFA196624 JOW196622:JOW196624 JYS196622:JYS196624 KIO196622:KIO196624 KSK196622:KSK196624 LCG196622:LCG196624 LMC196622:LMC196624 LVY196622:LVY196624 MFU196622:MFU196624 MPQ196622:MPQ196624 MZM196622:MZM196624 NJI196622:NJI196624 NTE196622:NTE196624 ODA196622:ODA196624 OMW196622:OMW196624 OWS196622:OWS196624 PGO196622:PGO196624 PQK196622:PQK196624 QAG196622:QAG196624 QKC196622:QKC196624 QTY196622:QTY196624 RDU196622:RDU196624 RNQ196622:RNQ196624 RXM196622:RXM196624 SHI196622:SHI196624 SRE196622:SRE196624 TBA196622:TBA196624 TKW196622:TKW196624 TUS196622:TUS196624 UEO196622:UEO196624 UOK196622:UOK196624 UYG196622:UYG196624 VIC196622:VIC196624 VRY196622:VRY196624 WBU196622:WBU196624 WLQ196622:WLQ196624 WVM196622:WVM196624 E262158:E262160 JA262158:JA262160 SW262158:SW262160 ACS262158:ACS262160 AMO262158:AMO262160 AWK262158:AWK262160 BGG262158:BGG262160 BQC262158:BQC262160 BZY262158:BZY262160 CJU262158:CJU262160 CTQ262158:CTQ262160 DDM262158:DDM262160 DNI262158:DNI262160 DXE262158:DXE262160 EHA262158:EHA262160 EQW262158:EQW262160 FAS262158:FAS262160 FKO262158:FKO262160 FUK262158:FUK262160 GEG262158:GEG262160 GOC262158:GOC262160 GXY262158:GXY262160 HHU262158:HHU262160 HRQ262158:HRQ262160 IBM262158:IBM262160 ILI262158:ILI262160 IVE262158:IVE262160 JFA262158:JFA262160 JOW262158:JOW262160 JYS262158:JYS262160 KIO262158:KIO262160 KSK262158:KSK262160 LCG262158:LCG262160 LMC262158:LMC262160 LVY262158:LVY262160 MFU262158:MFU262160 MPQ262158:MPQ262160 MZM262158:MZM262160 NJI262158:NJI262160 NTE262158:NTE262160 ODA262158:ODA262160 OMW262158:OMW262160 OWS262158:OWS262160 PGO262158:PGO262160 PQK262158:PQK262160 QAG262158:QAG262160 QKC262158:QKC262160 QTY262158:QTY262160 RDU262158:RDU262160 RNQ262158:RNQ262160 RXM262158:RXM262160 SHI262158:SHI262160 SRE262158:SRE262160 TBA262158:TBA262160 TKW262158:TKW262160 TUS262158:TUS262160 UEO262158:UEO262160 UOK262158:UOK262160 UYG262158:UYG262160 VIC262158:VIC262160 VRY262158:VRY262160 WBU262158:WBU262160 WLQ262158:WLQ262160 WVM262158:WVM262160 E327694:E327696 JA327694:JA327696 SW327694:SW327696 ACS327694:ACS327696 AMO327694:AMO327696 AWK327694:AWK327696 BGG327694:BGG327696 BQC327694:BQC327696 BZY327694:BZY327696 CJU327694:CJU327696 CTQ327694:CTQ327696 DDM327694:DDM327696 DNI327694:DNI327696 DXE327694:DXE327696 EHA327694:EHA327696 EQW327694:EQW327696 FAS327694:FAS327696 FKO327694:FKO327696 FUK327694:FUK327696 GEG327694:GEG327696 GOC327694:GOC327696 GXY327694:GXY327696 HHU327694:HHU327696 HRQ327694:HRQ327696 IBM327694:IBM327696 ILI327694:ILI327696 IVE327694:IVE327696 JFA327694:JFA327696 JOW327694:JOW327696 JYS327694:JYS327696 KIO327694:KIO327696 KSK327694:KSK327696 LCG327694:LCG327696 LMC327694:LMC327696 LVY327694:LVY327696 MFU327694:MFU327696 MPQ327694:MPQ327696 MZM327694:MZM327696 NJI327694:NJI327696 NTE327694:NTE327696 ODA327694:ODA327696 OMW327694:OMW327696 OWS327694:OWS327696 PGO327694:PGO327696 PQK327694:PQK327696 QAG327694:QAG327696 QKC327694:QKC327696 QTY327694:QTY327696 RDU327694:RDU327696 RNQ327694:RNQ327696 RXM327694:RXM327696 SHI327694:SHI327696 SRE327694:SRE327696 TBA327694:TBA327696 TKW327694:TKW327696 TUS327694:TUS327696 UEO327694:UEO327696 UOK327694:UOK327696 UYG327694:UYG327696 VIC327694:VIC327696 VRY327694:VRY327696 WBU327694:WBU327696 WLQ327694:WLQ327696 WVM327694:WVM327696 E393230:E393232 JA393230:JA393232 SW393230:SW393232 ACS393230:ACS393232 AMO393230:AMO393232 AWK393230:AWK393232 BGG393230:BGG393232 BQC393230:BQC393232 BZY393230:BZY393232 CJU393230:CJU393232 CTQ393230:CTQ393232 DDM393230:DDM393232 DNI393230:DNI393232 DXE393230:DXE393232 EHA393230:EHA393232 EQW393230:EQW393232 FAS393230:FAS393232 FKO393230:FKO393232 FUK393230:FUK393232 GEG393230:GEG393232 GOC393230:GOC393232 GXY393230:GXY393232 HHU393230:HHU393232 HRQ393230:HRQ393232 IBM393230:IBM393232 ILI393230:ILI393232 IVE393230:IVE393232 JFA393230:JFA393232 JOW393230:JOW393232 JYS393230:JYS393232 KIO393230:KIO393232 KSK393230:KSK393232 LCG393230:LCG393232 LMC393230:LMC393232 LVY393230:LVY393232 MFU393230:MFU393232 MPQ393230:MPQ393232 MZM393230:MZM393232 NJI393230:NJI393232 NTE393230:NTE393232 ODA393230:ODA393232 OMW393230:OMW393232 OWS393230:OWS393232 PGO393230:PGO393232 PQK393230:PQK393232 QAG393230:QAG393232 QKC393230:QKC393232 QTY393230:QTY393232 RDU393230:RDU393232 RNQ393230:RNQ393232 RXM393230:RXM393232 SHI393230:SHI393232 SRE393230:SRE393232 TBA393230:TBA393232 TKW393230:TKW393232 TUS393230:TUS393232 UEO393230:UEO393232 UOK393230:UOK393232 UYG393230:UYG393232 VIC393230:VIC393232 VRY393230:VRY393232 WBU393230:WBU393232 WLQ393230:WLQ393232 WVM393230:WVM393232 E458766:E458768 JA458766:JA458768 SW458766:SW458768 ACS458766:ACS458768 AMO458766:AMO458768 AWK458766:AWK458768 BGG458766:BGG458768 BQC458766:BQC458768 BZY458766:BZY458768 CJU458766:CJU458768 CTQ458766:CTQ458768 DDM458766:DDM458768 DNI458766:DNI458768 DXE458766:DXE458768 EHA458766:EHA458768 EQW458766:EQW458768 FAS458766:FAS458768 FKO458766:FKO458768 FUK458766:FUK458768 GEG458766:GEG458768 GOC458766:GOC458768 GXY458766:GXY458768 HHU458766:HHU458768 HRQ458766:HRQ458768 IBM458766:IBM458768 ILI458766:ILI458768 IVE458766:IVE458768 JFA458766:JFA458768 JOW458766:JOW458768 JYS458766:JYS458768 KIO458766:KIO458768 KSK458766:KSK458768 LCG458766:LCG458768 LMC458766:LMC458768 LVY458766:LVY458768 MFU458766:MFU458768 MPQ458766:MPQ458768 MZM458766:MZM458768 NJI458766:NJI458768 NTE458766:NTE458768 ODA458766:ODA458768 OMW458766:OMW458768 OWS458766:OWS458768 PGO458766:PGO458768 PQK458766:PQK458768 QAG458766:QAG458768 QKC458766:QKC458768 QTY458766:QTY458768 RDU458766:RDU458768 RNQ458766:RNQ458768 RXM458766:RXM458768 SHI458766:SHI458768 SRE458766:SRE458768 TBA458766:TBA458768 TKW458766:TKW458768 TUS458766:TUS458768 UEO458766:UEO458768 UOK458766:UOK458768 UYG458766:UYG458768 VIC458766:VIC458768 VRY458766:VRY458768 WBU458766:WBU458768 WLQ458766:WLQ458768 WVM458766:WVM458768 E524302:E524304 JA524302:JA524304 SW524302:SW524304 ACS524302:ACS524304 AMO524302:AMO524304 AWK524302:AWK524304 BGG524302:BGG524304 BQC524302:BQC524304 BZY524302:BZY524304 CJU524302:CJU524304 CTQ524302:CTQ524304 DDM524302:DDM524304 DNI524302:DNI524304 DXE524302:DXE524304 EHA524302:EHA524304 EQW524302:EQW524304 FAS524302:FAS524304 FKO524302:FKO524304 FUK524302:FUK524304 GEG524302:GEG524304 GOC524302:GOC524304 GXY524302:GXY524304 HHU524302:HHU524304 HRQ524302:HRQ524304 IBM524302:IBM524304 ILI524302:ILI524304 IVE524302:IVE524304 JFA524302:JFA524304 JOW524302:JOW524304 JYS524302:JYS524304 KIO524302:KIO524304 KSK524302:KSK524304 LCG524302:LCG524304 LMC524302:LMC524304 LVY524302:LVY524304 MFU524302:MFU524304 MPQ524302:MPQ524304 MZM524302:MZM524304 NJI524302:NJI524304 NTE524302:NTE524304 ODA524302:ODA524304 OMW524302:OMW524304 OWS524302:OWS524304 PGO524302:PGO524304 PQK524302:PQK524304 QAG524302:QAG524304 QKC524302:QKC524304 QTY524302:QTY524304 RDU524302:RDU524304 RNQ524302:RNQ524304 RXM524302:RXM524304 SHI524302:SHI524304 SRE524302:SRE524304 TBA524302:TBA524304 TKW524302:TKW524304 TUS524302:TUS524304 UEO524302:UEO524304 UOK524302:UOK524304 UYG524302:UYG524304 VIC524302:VIC524304 VRY524302:VRY524304 WBU524302:WBU524304 WLQ524302:WLQ524304 WVM524302:WVM524304 E589838:E589840 JA589838:JA589840 SW589838:SW589840 ACS589838:ACS589840 AMO589838:AMO589840 AWK589838:AWK589840 BGG589838:BGG589840 BQC589838:BQC589840 BZY589838:BZY589840 CJU589838:CJU589840 CTQ589838:CTQ589840 DDM589838:DDM589840 DNI589838:DNI589840 DXE589838:DXE589840 EHA589838:EHA589840 EQW589838:EQW589840 FAS589838:FAS589840 FKO589838:FKO589840 FUK589838:FUK589840 GEG589838:GEG589840 GOC589838:GOC589840 GXY589838:GXY589840 HHU589838:HHU589840 HRQ589838:HRQ589840 IBM589838:IBM589840 ILI589838:ILI589840 IVE589838:IVE589840 JFA589838:JFA589840 JOW589838:JOW589840 JYS589838:JYS589840 KIO589838:KIO589840 KSK589838:KSK589840 LCG589838:LCG589840 LMC589838:LMC589840 LVY589838:LVY589840 MFU589838:MFU589840 MPQ589838:MPQ589840 MZM589838:MZM589840 NJI589838:NJI589840 NTE589838:NTE589840 ODA589838:ODA589840 OMW589838:OMW589840 OWS589838:OWS589840 PGO589838:PGO589840 PQK589838:PQK589840 QAG589838:QAG589840 QKC589838:QKC589840 QTY589838:QTY589840 RDU589838:RDU589840 RNQ589838:RNQ589840 RXM589838:RXM589840 SHI589838:SHI589840 SRE589838:SRE589840 TBA589838:TBA589840 TKW589838:TKW589840 TUS589838:TUS589840 UEO589838:UEO589840 UOK589838:UOK589840 UYG589838:UYG589840 VIC589838:VIC589840 VRY589838:VRY589840 WBU589838:WBU589840 WLQ589838:WLQ589840 WVM589838:WVM589840 E655374:E655376 JA655374:JA655376 SW655374:SW655376 ACS655374:ACS655376 AMO655374:AMO655376 AWK655374:AWK655376 BGG655374:BGG655376 BQC655374:BQC655376 BZY655374:BZY655376 CJU655374:CJU655376 CTQ655374:CTQ655376 DDM655374:DDM655376 DNI655374:DNI655376 DXE655374:DXE655376 EHA655374:EHA655376 EQW655374:EQW655376 FAS655374:FAS655376 FKO655374:FKO655376 FUK655374:FUK655376 GEG655374:GEG655376 GOC655374:GOC655376 GXY655374:GXY655376 HHU655374:HHU655376 HRQ655374:HRQ655376 IBM655374:IBM655376 ILI655374:ILI655376 IVE655374:IVE655376 JFA655374:JFA655376 JOW655374:JOW655376 JYS655374:JYS655376 KIO655374:KIO655376 KSK655374:KSK655376 LCG655374:LCG655376 LMC655374:LMC655376 LVY655374:LVY655376 MFU655374:MFU655376 MPQ655374:MPQ655376 MZM655374:MZM655376 NJI655374:NJI655376 NTE655374:NTE655376 ODA655374:ODA655376 OMW655374:OMW655376 OWS655374:OWS655376 PGO655374:PGO655376 PQK655374:PQK655376 QAG655374:QAG655376 QKC655374:QKC655376 QTY655374:QTY655376 RDU655374:RDU655376 RNQ655374:RNQ655376 RXM655374:RXM655376 SHI655374:SHI655376 SRE655374:SRE655376 TBA655374:TBA655376 TKW655374:TKW655376 TUS655374:TUS655376 UEO655374:UEO655376 UOK655374:UOK655376 UYG655374:UYG655376 VIC655374:VIC655376 VRY655374:VRY655376 WBU655374:WBU655376 WLQ655374:WLQ655376 WVM655374:WVM655376 E720910:E720912 JA720910:JA720912 SW720910:SW720912 ACS720910:ACS720912 AMO720910:AMO720912 AWK720910:AWK720912 BGG720910:BGG720912 BQC720910:BQC720912 BZY720910:BZY720912 CJU720910:CJU720912 CTQ720910:CTQ720912 DDM720910:DDM720912 DNI720910:DNI720912 DXE720910:DXE720912 EHA720910:EHA720912 EQW720910:EQW720912 FAS720910:FAS720912 FKO720910:FKO720912 FUK720910:FUK720912 GEG720910:GEG720912 GOC720910:GOC720912 GXY720910:GXY720912 HHU720910:HHU720912 HRQ720910:HRQ720912 IBM720910:IBM720912 ILI720910:ILI720912 IVE720910:IVE720912 JFA720910:JFA720912 JOW720910:JOW720912 JYS720910:JYS720912 KIO720910:KIO720912 KSK720910:KSK720912 LCG720910:LCG720912 LMC720910:LMC720912 LVY720910:LVY720912 MFU720910:MFU720912 MPQ720910:MPQ720912 MZM720910:MZM720912 NJI720910:NJI720912 NTE720910:NTE720912 ODA720910:ODA720912 OMW720910:OMW720912 OWS720910:OWS720912 PGO720910:PGO720912 PQK720910:PQK720912 QAG720910:QAG720912 QKC720910:QKC720912 QTY720910:QTY720912 RDU720910:RDU720912 RNQ720910:RNQ720912 RXM720910:RXM720912 SHI720910:SHI720912 SRE720910:SRE720912 TBA720910:TBA720912 TKW720910:TKW720912 TUS720910:TUS720912 UEO720910:UEO720912 UOK720910:UOK720912 UYG720910:UYG720912 VIC720910:VIC720912 VRY720910:VRY720912 WBU720910:WBU720912 WLQ720910:WLQ720912 WVM720910:WVM720912 E786446:E786448 JA786446:JA786448 SW786446:SW786448 ACS786446:ACS786448 AMO786446:AMO786448 AWK786446:AWK786448 BGG786446:BGG786448 BQC786446:BQC786448 BZY786446:BZY786448 CJU786446:CJU786448 CTQ786446:CTQ786448 DDM786446:DDM786448 DNI786446:DNI786448 DXE786446:DXE786448 EHA786446:EHA786448 EQW786446:EQW786448 FAS786446:FAS786448 FKO786446:FKO786448 FUK786446:FUK786448 GEG786446:GEG786448 GOC786446:GOC786448 GXY786446:GXY786448 HHU786446:HHU786448 HRQ786446:HRQ786448 IBM786446:IBM786448 ILI786446:ILI786448 IVE786446:IVE786448 JFA786446:JFA786448 JOW786446:JOW786448 JYS786446:JYS786448 KIO786446:KIO786448 KSK786446:KSK786448 LCG786446:LCG786448 LMC786446:LMC786448 LVY786446:LVY786448 MFU786446:MFU786448 MPQ786446:MPQ786448 MZM786446:MZM786448 NJI786446:NJI786448 NTE786446:NTE786448 ODA786446:ODA786448 OMW786446:OMW786448 OWS786446:OWS786448 PGO786446:PGO786448 PQK786446:PQK786448 QAG786446:QAG786448 QKC786446:QKC786448 QTY786446:QTY786448 RDU786446:RDU786448 RNQ786446:RNQ786448 RXM786446:RXM786448 SHI786446:SHI786448 SRE786446:SRE786448 TBA786446:TBA786448 TKW786446:TKW786448 TUS786446:TUS786448 UEO786446:UEO786448 UOK786446:UOK786448 UYG786446:UYG786448 VIC786446:VIC786448 VRY786446:VRY786448 WBU786446:WBU786448 WLQ786446:WLQ786448 WVM786446:WVM786448 E851982:E851984 JA851982:JA851984 SW851982:SW851984 ACS851982:ACS851984 AMO851982:AMO851984 AWK851982:AWK851984 BGG851982:BGG851984 BQC851982:BQC851984 BZY851982:BZY851984 CJU851982:CJU851984 CTQ851982:CTQ851984 DDM851982:DDM851984 DNI851982:DNI851984 DXE851982:DXE851984 EHA851982:EHA851984 EQW851982:EQW851984 FAS851982:FAS851984 FKO851982:FKO851984 FUK851982:FUK851984 GEG851982:GEG851984 GOC851982:GOC851984 GXY851982:GXY851984 HHU851982:HHU851984 HRQ851982:HRQ851984 IBM851982:IBM851984 ILI851982:ILI851984 IVE851982:IVE851984 JFA851982:JFA851984 JOW851982:JOW851984 JYS851982:JYS851984 KIO851982:KIO851984 KSK851982:KSK851984 LCG851982:LCG851984 LMC851982:LMC851984 LVY851982:LVY851984 MFU851982:MFU851984 MPQ851982:MPQ851984 MZM851982:MZM851984 NJI851982:NJI851984 NTE851982:NTE851984 ODA851982:ODA851984 OMW851982:OMW851984 OWS851982:OWS851984 PGO851982:PGO851984 PQK851982:PQK851984 QAG851982:QAG851984 QKC851982:QKC851984 QTY851982:QTY851984 RDU851982:RDU851984 RNQ851982:RNQ851984 RXM851982:RXM851984 SHI851982:SHI851984 SRE851982:SRE851984 TBA851982:TBA851984 TKW851982:TKW851984 TUS851982:TUS851984 UEO851982:UEO851984 UOK851982:UOK851984 UYG851982:UYG851984 VIC851982:VIC851984 VRY851982:VRY851984 WBU851982:WBU851984 WLQ851982:WLQ851984 WVM851982:WVM851984 E917518:E917520 JA917518:JA917520 SW917518:SW917520 ACS917518:ACS917520 AMO917518:AMO917520 AWK917518:AWK917520 BGG917518:BGG917520 BQC917518:BQC917520 BZY917518:BZY917520 CJU917518:CJU917520 CTQ917518:CTQ917520 DDM917518:DDM917520 DNI917518:DNI917520 DXE917518:DXE917520 EHA917518:EHA917520 EQW917518:EQW917520 FAS917518:FAS917520 FKO917518:FKO917520 FUK917518:FUK917520 GEG917518:GEG917520 GOC917518:GOC917520 GXY917518:GXY917520 HHU917518:HHU917520 HRQ917518:HRQ917520 IBM917518:IBM917520 ILI917518:ILI917520 IVE917518:IVE917520 JFA917518:JFA917520 JOW917518:JOW917520 JYS917518:JYS917520 KIO917518:KIO917520 KSK917518:KSK917520 LCG917518:LCG917520 LMC917518:LMC917520 LVY917518:LVY917520 MFU917518:MFU917520 MPQ917518:MPQ917520 MZM917518:MZM917520 NJI917518:NJI917520 NTE917518:NTE917520 ODA917518:ODA917520 OMW917518:OMW917520 OWS917518:OWS917520 PGO917518:PGO917520 PQK917518:PQK917520 QAG917518:QAG917520 QKC917518:QKC917520 QTY917518:QTY917520 RDU917518:RDU917520 RNQ917518:RNQ917520 RXM917518:RXM917520 SHI917518:SHI917520 SRE917518:SRE917520 TBA917518:TBA917520 TKW917518:TKW917520 TUS917518:TUS917520 UEO917518:UEO917520 UOK917518:UOK917520 UYG917518:UYG917520 VIC917518:VIC917520 VRY917518:VRY917520 WBU917518:WBU917520 WLQ917518:WLQ917520 WVM917518:WVM917520 E983054:E983056 JA983054:JA983056 SW983054:SW983056 ACS983054:ACS983056 AMO983054:AMO983056 AWK983054:AWK983056 BGG983054:BGG983056 BQC983054:BQC983056 BZY983054:BZY983056 CJU983054:CJU983056 CTQ983054:CTQ983056 DDM983054:DDM983056 DNI983054:DNI983056 DXE983054:DXE983056 EHA983054:EHA983056 EQW983054:EQW983056 FAS983054:FAS983056 FKO983054:FKO983056 FUK983054:FUK983056 GEG983054:GEG983056 GOC983054:GOC983056 GXY983054:GXY983056 HHU983054:HHU983056 HRQ983054:HRQ983056 IBM983054:IBM983056 ILI983054:ILI983056 IVE983054:IVE983056 JFA983054:JFA983056 JOW983054:JOW983056 JYS983054:JYS983056 KIO983054:KIO983056 KSK983054:KSK983056 LCG983054:LCG983056 LMC983054:LMC983056 LVY983054:LVY983056 MFU983054:MFU983056 MPQ983054:MPQ983056 MZM983054:MZM983056 NJI983054:NJI983056 NTE983054:NTE983056 ODA983054:ODA983056 OMW983054:OMW983056 OWS983054:OWS983056 PGO983054:PGO983056 PQK983054:PQK983056 QAG983054:QAG983056 QKC983054:QKC983056 QTY983054:QTY983056 RDU983054:RDU983056 RNQ983054:RNQ983056 RXM983054:RXM983056 SHI983054:SHI983056 SRE983054:SRE983056 TBA983054:TBA983056 TKW983054:TKW983056 TUS983054:TUS983056 UEO983054:UEO983056 UOK983054:UOK983056 UYG983054:UYG983056 VIC983054:VIC983056 VRY983054:VRY983056 WBU983054:WBU983056 WLQ983054:WLQ983056 WVM983054:WVM983056 M21 JI21 TE21 ADA21 AMW21 AWS21 BGO21 BQK21 CAG21 CKC21 CTY21 DDU21 DNQ21 DXM21 EHI21 ERE21 FBA21 FKW21 FUS21 GEO21 GOK21 GYG21 HIC21 HRY21 IBU21 ILQ21 IVM21 JFI21 JPE21 JZA21 KIW21 KSS21 LCO21 LMK21 LWG21 MGC21 MPY21 MZU21 NJQ21 NTM21 ODI21 ONE21 OXA21 PGW21 PQS21 QAO21 QKK21 QUG21 REC21 RNY21 RXU21 SHQ21 SRM21 TBI21 TLE21 TVA21 UEW21 UOS21 UYO21 VIK21 VSG21 WCC21 WLY21 WVU21 M65557 JI65557 TE65557 ADA65557 AMW65557 AWS65557 BGO65557 BQK65557 CAG65557 CKC65557 CTY65557 DDU65557 DNQ65557 DXM65557 EHI65557 ERE65557 FBA65557 FKW65557 FUS65557 GEO65557 GOK65557 GYG65557 HIC65557 HRY65557 IBU65557 ILQ65557 IVM65557 JFI65557 JPE65557 JZA65557 KIW65557 KSS65557 LCO65557 LMK65557 LWG65557 MGC65557 MPY65557 MZU65557 NJQ65557 NTM65557 ODI65557 ONE65557 OXA65557 PGW65557 PQS65557 QAO65557 QKK65557 QUG65557 REC65557 RNY65557 RXU65557 SHQ65557 SRM65557 TBI65557 TLE65557 TVA65557 UEW65557 UOS65557 UYO65557 VIK65557 VSG65557 WCC65557 WLY65557 WVU65557 M131093 JI131093 TE131093 ADA131093 AMW131093 AWS131093 BGO131093 BQK131093 CAG131093 CKC131093 CTY131093 DDU131093 DNQ131093 DXM131093 EHI131093 ERE131093 FBA131093 FKW131093 FUS131093 GEO131093 GOK131093 GYG131093 HIC131093 HRY131093 IBU131093 ILQ131093 IVM131093 JFI131093 JPE131093 JZA131093 KIW131093 KSS131093 LCO131093 LMK131093 LWG131093 MGC131093 MPY131093 MZU131093 NJQ131093 NTM131093 ODI131093 ONE131093 OXA131093 PGW131093 PQS131093 QAO131093 QKK131093 QUG131093 REC131093 RNY131093 RXU131093 SHQ131093 SRM131093 TBI131093 TLE131093 TVA131093 UEW131093 UOS131093 UYO131093 VIK131093 VSG131093 WCC131093 WLY131093 WVU131093 M196629 JI196629 TE196629 ADA196629 AMW196629 AWS196629 BGO196629 BQK196629 CAG196629 CKC196629 CTY196629 DDU196629 DNQ196629 DXM196629 EHI196629 ERE196629 FBA196629 FKW196629 FUS196629 GEO196629 GOK196629 GYG196629 HIC196629 HRY196629 IBU196629 ILQ196629 IVM196629 JFI196629 JPE196629 JZA196629 KIW196629 KSS196629 LCO196629 LMK196629 LWG196629 MGC196629 MPY196629 MZU196629 NJQ196629 NTM196629 ODI196629 ONE196629 OXA196629 PGW196629 PQS196629 QAO196629 QKK196629 QUG196629 REC196629 RNY196629 RXU196629 SHQ196629 SRM196629 TBI196629 TLE196629 TVA196629 UEW196629 UOS196629 UYO196629 VIK196629 VSG196629 WCC196629 WLY196629 WVU196629 M262165 JI262165 TE262165 ADA262165 AMW262165 AWS262165 BGO262165 BQK262165 CAG262165 CKC262165 CTY262165 DDU262165 DNQ262165 DXM262165 EHI262165 ERE262165 FBA262165 FKW262165 FUS262165 GEO262165 GOK262165 GYG262165 HIC262165 HRY262165 IBU262165 ILQ262165 IVM262165 JFI262165 JPE262165 JZA262165 KIW262165 KSS262165 LCO262165 LMK262165 LWG262165 MGC262165 MPY262165 MZU262165 NJQ262165 NTM262165 ODI262165 ONE262165 OXA262165 PGW262165 PQS262165 QAO262165 QKK262165 QUG262165 REC262165 RNY262165 RXU262165 SHQ262165 SRM262165 TBI262165 TLE262165 TVA262165 UEW262165 UOS262165 UYO262165 VIK262165 VSG262165 WCC262165 WLY262165 WVU262165 M327701 JI327701 TE327701 ADA327701 AMW327701 AWS327701 BGO327701 BQK327701 CAG327701 CKC327701 CTY327701 DDU327701 DNQ327701 DXM327701 EHI327701 ERE327701 FBA327701 FKW327701 FUS327701 GEO327701 GOK327701 GYG327701 HIC327701 HRY327701 IBU327701 ILQ327701 IVM327701 JFI327701 JPE327701 JZA327701 KIW327701 KSS327701 LCO327701 LMK327701 LWG327701 MGC327701 MPY327701 MZU327701 NJQ327701 NTM327701 ODI327701 ONE327701 OXA327701 PGW327701 PQS327701 QAO327701 QKK327701 QUG327701 REC327701 RNY327701 RXU327701 SHQ327701 SRM327701 TBI327701 TLE327701 TVA327701 UEW327701 UOS327701 UYO327701 VIK327701 VSG327701 WCC327701 WLY327701 WVU327701 M393237 JI393237 TE393237 ADA393237 AMW393237 AWS393237 BGO393237 BQK393237 CAG393237 CKC393237 CTY393237 DDU393237 DNQ393237 DXM393237 EHI393237 ERE393237 FBA393237 FKW393237 FUS393237 GEO393237 GOK393237 GYG393237 HIC393237 HRY393237 IBU393237 ILQ393237 IVM393237 JFI393237 JPE393237 JZA393237 KIW393237 KSS393237 LCO393237 LMK393237 LWG393237 MGC393237 MPY393237 MZU393237 NJQ393237 NTM393237 ODI393237 ONE393237 OXA393237 PGW393237 PQS393237 QAO393237 QKK393237 QUG393237 REC393237 RNY393237 RXU393237 SHQ393237 SRM393237 TBI393237 TLE393237 TVA393237 UEW393237 UOS393237 UYO393237 VIK393237 VSG393237 WCC393237 WLY393237 WVU393237 M458773 JI458773 TE458773 ADA458773 AMW458773 AWS458773 BGO458773 BQK458773 CAG458773 CKC458773 CTY458773 DDU458773 DNQ458773 DXM458773 EHI458773 ERE458773 FBA458773 FKW458773 FUS458773 GEO458773 GOK458773 GYG458773 HIC458773 HRY458773 IBU458773 ILQ458773 IVM458773 JFI458773 JPE458773 JZA458773 KIW458773 KSS458773 LCO458773 LMK458773 LWG458773 MGC458773 MPY458773 MZU458773 NJQ458773 NTM458773 ODI458773 ONE458773 OXA458773 PGW458773 PQS458773 QAO458773 QKK458773 QUG458773 REC458773 RNY458773 RXU458773 SHQ458773 SRM458773 TBI458773 TLE458773 TVA458773 UEW458773 UOS458773 UYO458773 VIK458773 VSG458773 WCC458773 WLY458773 WVU458773 M524309 JI524309 TE524309 ADA524309 AMW524309 AWS524309 BGO524309 BQK524309 CAG524309 CKC524309 CTY524309 DDU524309 DNQ524309 DXM524309 EHI524309 ERE524309 FBA524309 FKW524309 FUS524309 GEO524309 GOK524309 GYG524309 HIC524309 HRY524309 IBU524309 ILQ524309 IVM524309 JFI524309 JPE524309 JZA524309 KIW524309 KSS524309 LCO524309 LMK524309 LWG524309 MGC524309 MPY524309 MZU524309 NJQ524309 NTM524309 ODI524309 ONE524309 OXA524309 PGW524309 PQS524309 QAO524309 QKK524309 QUG524309 REC524309 RNY524309 RXU524309 SHQ524309 SRM524309 TBI524309 TLE524309 TVA524309 UEW524309 UOS524309 UYO524309 VIK524309 VSG524309 WCC524309 WLY524309 WVU524309 M589845 JI589845 TE589845 ADA589845 AMW589845 AWS589845 BGO589845 BQK589845 CAG589845 CKC589845 CTY589845 DDU589845 DNQ589845 DXM589845 EHI589845 ERE589845 FBA589845 FKW589845 FUS589845 GEO589845 GOK589845 GYG589845 HIC589845 HRY589845 IBU589845 ILQ589845 IVM589845 JFI589845 JPE589845 JZA589845 KIW589845 KSS589845 LCO589845 LMK589845 LWG589845 MGC589845 MPY589845 MZU589845 NJQ589845 NTM589845 ODI589845 ONE589845 OXA589845 PGW589845 PQS589845 QAO589845 QKK589845 QUG589845 REC589845 RNY589845 RXU589845 SHQ589845 SRM589845 TBI589845 TLE589845 TVA589845 UEW589845 UOS589845 UYO589845 VIK589845 VSG589845 WCC589845 WLY589845 WVU589845 M655381 JI655381 TE655381 ADA655381 AMW655381 AWS655381 BGO655381 BQK655381 CAG655381 CKC655381 CTY655381 DDU655381 DNQ655381 DXM655381 EHI655381 ERE655381 FBA655381 FKW655381 FUS655381 GEO655381 GOK655381 GYG655381 HIC655381 HRY655381 IBU655381 ILQ655381 IVM655381 JFI655381 JPE655381 JZA655381 KIW655381 KSS655381 LCO655381 LMK655381 LWG655381 MGC655381 MPY655381 MZU655381 NJQ655381 NTM655381 ODI655381 ONE655381 OXA655381 PGW655381 PQS655381 QAO655381 QKK655381 QUG655381 REC655381 RNY655381 RXU655381 SHQ655381 SRM655381 TBI655381 TLE655381 TVA655381 UEW655381 UOS655381 UYO655381 VIK655381 VSG655381 WCC655381 WLY655381 WVU655381 M720917 JI720917 TE720917 ADA720917 AMW720917 AWS720917 BGO720917 BQK720917 CAG720917 CKC720917 CTY720917 DDU720917 DNQ720917 DXM720917 EHI720917 ERE720917 FBA720917 FKW720917 FUS720917 GEO720917 GOK720917 GYG720917 HIC720917 HRY720917 IBU720917 ILQ720917 IVM720917 JFI720917 JPE720917 JZA720917 KIW720917 KSS720917 LCO720917 LMK720917 LWG720917 MGC720917 MPY720917 MZU720917 NJQ720917 NTM720917 ODI720917 ONE720917 OXA720917 PGW720917 PQS720917 QAO720917 QKK720917 QUG720917 REC720917 RNY720917 RXU720917 SHQ720917 SRM720917 TBI720917 TLE720917 TVA720917 UEW720917 UOS720917 UYO720917 VIK720917 VSG720917 WCC720917 WLY720917 WVU720917 M786453 JI786453 TE786453 ADA786453 AMW786453 AWS786453 BGO786453 BQK786453 CAG786453 CKC786453 CTY786453 DDU786453 DNQ786453 DXM786453 EHI786453 ERE786453 FBA786453 FKW786453 FUS786453 GEO786453 GOK786453 GYG786453 HIC786453 HRY786453 IBU786453 ILQ786453 IVM786453 JFI786453 JPE786453 JZA786453 KIW786453 KSS786453 LCO786453 LMK786453 LWG786453 MGC786453 MPY786453 MZU786453 NJQ786453 NTM786453 ODI786453 ONE786453 OXA786453 PGW786453 PQS786453 QAO786453 QKK786453 QUG786453 REC786453 RNY786453 RXU786453 SHQ786453 SRM786453 TBI786453 TLE786453 TVA786453 UEW786453 UOS786453 UYO786453 VIK786453 VSG786453 WCC786453 WLY786453 WVU786453 M851989 JI851989 TE851989 ADA851989 AMW851989 AWS851989 BGO851989 BQK851989 CAG851989 CKC851989 CTY851989 DDU851989 DNQ851989 DXM851989 EHI851989 ERE851989 FBA851989 FKW851989 FUS851989 GEO851989 GOK851989 GYG851989 HIC851989 HRY851989 IBU851989 ILQ851989 IVM851989 JFI851989 JPE851989 JZA851989 KIW851989 KSS851989 LCO851989 LMK851989 LWG851989 MGC851989 MPY851989 MZU851989 NJQ851989 NTM851989 ODI851989 ONE851989 OXA851989 PGW851989 PQS851989 QAO851989 QKK851989 QUG851989 REC851989 RNY851989 RXU851989 SHQ851989 SRM851989 TBI851989 TLE851989 TVA851989 UEW851989 UOS851989 UYO851989 VIK851989 VSG851989 WCC851989 WLY851989 WVU851989 M917525 JI917525 TE917525 ADA917525 AMW917525 AWS917525 BGO917525 BQK917525 CAG917525 CKC917525 CTY917525 DDU917525 DNQ917525 DXM917525 EHI917525 ERE917525 FBA917525 FKW917525 FUS917525 GEO917525 GOK917525 GYG917525 HIC917525 HRY917525 IBU917525 ILQ917525 IVM917525 JFI917525 JPE917525 JZA917525 KIW917525 KSS917525 LCO917525 LMK917525 LWG917525 MGC917525 MPY917525 MZU917525 NJQ917525 NTM917525 ODI917525 ONE917525 OXA917525 PGW917525 PQS917525 QAO917525 QKK917525 QUG917525 REC917525 RNY917525 RXU917525 SHQ917525 SRM917525 TBI917525 TLE917525 TVA917525 UEW917525 UOS917525 UYO917525 VIK917525 VSG917525 WCC917525 WLY917525 WVU917525 M983061 JI983061 TE983061 ADA983061 AMW983061 AWS983061 BGO983061 BQK983061 CAG983061 CKC983061 CTY983061 DDU983061 DNQ983061 DXM983061 EHI983061 ERE983061 FBA983061 FKW983061 FUS983061 GEO983061 GOK983061 GYG983061 HIC983061 HRY983061 IBU983061 ILQ983061 IVM983061 JFI983061 JPE983061 JZA983061 KIW983061 KSS983061 LCO983061 LMK983061 LWG983061 MGC983061 MPY983061 MZU983061 NJQ983061 NTM983061 ODI983061 ONE983061 OXA983061 PGW983061 PQS983061 QAO983061 QKK983061 QUG983061 REC983061 RNY983061 RXU983061 SHQ983061 SRM983061 TBI983061 TLE983061 TVA983061 UEW983061 UOS983061 UYO983061 VIK983061 VSG983061 WCC983061 WLY983061 WVU983061 M6 JI6 TE6 ADA6 AMW6 AWS6 BGO6 BQK6 CAG6 CKC6 CTY6 DDU6 DNQ6 DXM6 EHI6 ERE6 FBA6 FKW6 FUS6 GEO6 GOK6 GYG6 HIC6 HRY6 IBU6 ILQ6 IVM6 JFI6 JPE6 JZA6 KIW6 KSS6 LCO6 LMK6 LWG6 MGC6 MPY6 MZU6 NJQ6 NTM6 ODI6 ONE6 OXA6 PGW6 PQS6 QAO6 QKK6 QUG6 REC6 RNY6 RXU6 SHQ6 SRM6 TBI6 TLE6 TVA6 UEW6 UOS6 UYO6 VIK6 VSG6 WCC6 WLY6 WVU6 M65542 JI65542 TE65542 ADA65542 AMW65542 AWS65542 BGO65542 BQK65542 CAG65542 CKC65542 CTY65542 DDU65542 DNQ65542 DXM65542 EHI65542 ERE65542 FBA65542 FKW65542 FUS65542 GEO65542 GOK65542 GYG65542 HIC65542 HRY65542 IBU65542 ILQ65542 IVM65542 JFI65542 JPE65542 JZA65542 KIW65542 KSS65542 LCO65542 LMK65542 LWG65542 MGC65542 MPY65542 MZU65542 NJQ65542 NTM65542 ODI65542 ONE65542 OXA65542 PGW65542 PQS65542 QAO65542 QKK65542 QUG65542 REC65542 RNY65542 RXU65542 SHQ65542 SRM65542 TBI65542 TLE65542 TVA65542 UEW65542 UOS65542 UYO65542 VIK65542 VSG65542 WCC65542 WLY65542 WVU65542 M131078 JI131078 TE131078 ADA131078 AMW131078 AWS131078 BGO131078 BQK131078 CAG131078 CKC131078 CTY131078 DDU131078 DNQ131078 DXM131078 EHI131078 ERE131078 FBA131078 FKW131078 FUS131078 GEO131078 GOK131078 GYG131078 HIC131078 HRY131078 IBU131078 ILQ131078 IVM131078 JFI131078 JPE131078 JZA131078 KIW131078 KSS131078 LCO131078 LMK131078 LWG131078 MGC131078 MPY131078 MZU131078 NJQ131078 NTM131078 ODI131078 ONE131078 OXA131078 PGW131078 PQS131078 QAO131078 QKK131078 QUG131078 REC131078 RNY131078 RXU131078 SHQ131078 SRM131078 TBI131078 TLE131078 TVA131078 UEW131078 UOS131078 UYO131078 VIK131078 VSG131078 WCC131078 WLY131078 WVU131078 M196614 JI196614 TE196614 ADA196614 AMW196614 AWS196614 BGO196614 BQK196614 CAG196614 CKC196614 CTY196614 DDU196614 DNQ196614 DXM196614 EHI196614 ERE196614 FBA196614 FKW196614 FUS196614 GEO196614 GOK196614 GYG196614 HIC196614 HRY196614 IBU196614 ILQ196614 IVM196614 JFI196614 JPE196614 JZA196614 KIW196614 KSS196614 LCO196614 LMK196614 LWG196614 MGC196614 MPY196614 MZU196614 NJQ196614 NTM196614 ODI196614 ONE196614 OXA196614 PGW196614 PQS196614 QAO196614 QKK196614 QUG196614 REC196614 RNY196614 RXU196614 SHQ196614 SRM196614 TBI196614 TLE196614 TVA196614 UEW196614 UOS196614 UYO196614 VIK196614 VSG196614 WCC196614 WLY196614 WVU196614 M262150 JI262150 TE262150 ADA262150 AMW262150 AWS262150 BGO262150 BQK262150 CAG262150 CKC262150 CTY262150 DDU262150 DNQ262150 DXM262150 EHI262150 ERE262150 FBA262150 FKW262150 FUS262150 GEO262150 GOK262150 GYG262150 HIC262150 HRY262150 IBU262150 ILQ262150 IVM262150 JFI262150 JPE262150 JZA262150 KIW262150 KSS262150 LCO262150 LMK262150 LWG262150 MGC262150 MPY262150 MZU262150 NJQ262150 NTM262150 ODI262150 ONE262150 OXA262150 PGW262150 PQS262150 QAO262150 QKK262150 QUG262150 REC262150 RNY262150 RXU262150 SHQ262150 SRM262150 TBI262150 TLE262150 TVA262150 UEW262150 UOS262150 UYO262150 VIK262150 VSG262150 WCC262150 WLY262150 WVU262150 M327686 JI327686 TE327686 ADA327686 AMW327686 AWS327686 BGO327686 BQK327686 CAG327686 CKC327686 CTY327686 DDU327686 DNQ327686 DXM327686 EHI327686 ERE327686 FBA327686 FKW327686 FUS327686 GEO327686 GOK327686 GYG327686 HIC327686 HRY327686 IBU327686 ILQ327686 IVM327686 JFI327686 JPE327686 JZA327686 KIW327686 KSS327686 LCO327686 LMK327686 LWG327686 MGC327686 MPY327686 MZU327686 NJQ327686 NTM327686 ODI327686 ONE327686 OXA327686 PGW327686 PQS327686 QAO327686 QKK327686 QUG327686 REC327686 RNY327686 RXU327686 SHQ327686 SRM327686 TBI327686 TLE327686 TVA327686 UEW327686 UOS327686 UYO327686 VIK327686 VSG327686 WCC327686 WLY327686 WVU327686 M393222 JI393222 TE393222 ADA393222 AMW393222 AWS393222 BGO393222 BQK393222 CAG393222 CKC393222 CTY393222 DDU393222 DNQ393222 DXM393222 EHI393222 ERE393222 FBA393222 FKW393222 FUS393222 GEO393222 GOK393222 GYG393222 HIC393222 HRY393222 IBU393222 ILQ393222 IVM393222 JFI393222 JPE393222 JZA393222 KIW393222 KSS393222 LCO393222 LMK393222 LWG393222 MGC393222 MPY393222 MZU393222 NJQ393222 NTM393222 ODI393222 ONE393222 OXA393222 PGW393222 PQS393222 QAO393222 QKK393222 QUG393222 REC393222 RNY393222 RXU393222 SHQ393222 SRM393222 TBI393222 TLE393222 TVA393222 UEW393222 UOS393222 UYO393222 VIK393222 VSG393222 WCC393222 WLY393222 WVU393222 M458758 JI458758 TE458758 ADA458758 AMW458758 AWS458758 BGO458758 BQK458758 CAG458758 CKC458758 CTY458758 DDU458758 DNQ458758 DXM458758 EHI458758 ERE458758 FBA458758 FKW458758 FUS458758 GEO458758 GOK458758 GYG458758 HIC458758 HRY458758 IBU458758 ILQ458758 IVM458758 JFI458758 JPE458758 JZA458758 KIW458758 KSS458758 LCO458758 LMK458758 LWG458758 MGC458758 MPY458758 MZU458758 NJQ458758 NTM458758 ODI458758 ONE458758 OXA458758 PGW458758 PQS458758 QAO458758 QKK458758 QUG458758 REC458758 RNY458758 RXU458758 SHQ458758 SRM458758 TBI458758 TLE458758 TVA458758 UEW458758 UOS458758 UYO458758 VIK458758 VSG458758 WCC458758 WLY458758 WVU458758 M524294 JI524294 TE524294 ADA524294 AMW524294 AWS524294 BGO524294 BQK524294 CAG524294 CKC524294 CTY524294 DDU524294 DNQ524294 DXM524294 EHI524294 ERE524294 FBA524294 FKW524294 FUS524294 GEO524294 GOK524294 GYG524294 HIC524294 HRY524294 IBU524294 ILQ524294 IVM524294 JFI524294 JPE524294 JZA524294 KIW524294 KSS524294 LCO524294 LMK524294 LWG524294 MGC524294 MPY524294 MZU524294 NJQ524294 NTM524294 ODI524294 ONE524294 OXA524294 PGW524294 PQS524294 QAO524294 QKK524294 QUG524294 REC524294 RNY524294 RXU524294 SHQ524294 SRM524294 TBI524294 TLE524294 TVA524294 UEW524294 UOS524294 UYO524294 VIK524294 VSG524294 WCC524294 WLY524294 WVU524294 M589830 JI589830 TE589830 ADA589830 AMW589830 AWS589830 BGO589830 BQK589830 CAG589830 CKC589830 CTY589830 DDU589830 DNQ589830 DXM589830 EHI589830 ERE589830 FBA589830 FKW589830 FUS589830 GEO589830 GOK589830 GYG589830 HIC589830 HRY589830 IBU589830 ILQ589830 IVM589830 JFI589830 JPE589830 JZA589830 KIW589830 KSS589830 LCO589830 LMK589830 LWG589830 MGC589830 MPY589830 MZU589830 NJQ589830 NTM589830 ODI589830 ONE589830 OXA589830 PGW589830 PQS589830 QAO589830 QKK589830 QUG589830 REC589830 RNY589830 RXU589830 SHQ589830 SRM589830 TBI589830 TLE589830 TVA589830 UEW589830 UOS589830 UYO589830 VIK589830 VSG589830 WCC589830 WLY589830 WVU589830 M655366 JI655366 TE655366 ADA655366 AMW655366 AWS655366 BGO655366 BQK655366 CAG655366 CKC655366 CTY655366 DDU655366 DNQ655366 DXM655366 EHI655366 ERE655366 FBA655366 FKW655366 FUS655366 GEO655366 GOK655366 GYG655366 HIC655366 HRY655366 IBU655366 ILQ655366 IVM655366 JFI655366 JPE655366 JZA655366 KIW655366 KSS655366 LCO655366 LMK655366 LWG655366 MGC655366 MPY655366 MZU655366 NJQ655366 NTM655366 ODI655366 ONE655366 OXA655366 PGW655366 PQS655366 QAO655366 QKK655366 QUG655366 REC655366 RNY655366 RXU655366 SHQ655366 SRM655366 TBI655366 TLE655366 TVA655366 UEW655366 UOS655366 UYO655366 VIK655366 VSG655366 WCC655366 WLY655366 WVU655366 M720902 JI720902 TE720902 ADA720902 AMW720902 AWS720902 BGO720902 BQK720902 CAG720902 CKC720902 CTY720902 DDU720902 DNQ720902 DXM720902 EHI720902 ERE720902 FBA720902 FKW720902 FUS720902 GEO720902 GOK720902 GYG720902 HIC720902 HRY720902 IBU720902 ILQ720902 IVM720902 JFI720902 JPE720902 JZA720902 KIW720902 KSS720902 LCO720902 LMK720902 LWG720902 MGC720902 MPY720902 MZU720902 NJQ720902 NTM720902 ODI720902 ONE720902 OXA720902 PGW720902 PQS720902 QAO720902 QKK720902 QUG720902 REC720902 RNY720902 RXU720902 SHQ720902 SRM720902 TBI720902 TLE720902 TVA720902 UEW720902 UOS720902 UYO720902 VIK720902 VSG720902 WCC720902 WLY720902 WVU720902 M786438 JI786438 TE786438 ADA786438 AMW786438 AWS786438 BGO786438 BQK786438 CAG786438 CKC786438 CTY786438 DDU786438 DNQ786438 DXM786438 EHI786438 ERE786438 FBA786438 FKW786438 FUS786438 GEO786438 GOK786438 GYG786438 HIC786438 HRY786438 IBU786438 ILQ786438 IVM786438 JFI786438 JPE786438 JZA786438 KIW786438 KSS786438 LCO786438 LMK786438 LWG786438 MGC786438 MPY786438 MZU786438 NJQ786438 NTM786438 ODI786438 ONE786438 OXA786438 PGW786438 PQS786438 QAO786438 QKK786438 QUG786438 REC786438 RNY786438 RXU786438 SHQ786438 SRM786438 TBI786438 TLE786438 TVA786438 UEW786438 UOS786438 UYO786438 VIK786438 VSG786438 WCC786438 WLY786438 WVU786438 M851974 JI851974 TE851974 ADA851974 AMW851974 AWS851974 BGO851974 BQK851974 CAG851974 CKC851974 CTY851974 DDU851974 DNQ851974 DXM851974 EHI851974 ERE851974 FBA851974 FKW851974 FUS851974 GEO851974 GOK851974 GYG851974 HIC851974 HRY851974 IBU851974 ILQ851974 IVM851974 JFI851974 JPE851974 JZA851974 KIW851974 KSS851974 LCO851974 LMK851974 LWG851974 MGC851974 MPY851974 MZU851974 NJQ851974 NTM851974 ODI851974 ONE851974 OXA851974 PGW851974 PQS851974 QAO851974 QKK851974 QUG851974 REC851974 RNY851974 RXU851974 SHQ851974 SRM851974 TBI851974 TLE851974 TVA851974 UEW851974 UOS851974 UYO851974 VIK851974 VSG851974 WCC851974 WLY851974 WVU851974 M917510 JI917510 TE917510 ADA917510 AMW917510 AWS917510 BGO917510 BQK917510 CAG917510 CKC917510 CTY917510 DDU917510 DNQ917510 DXM917510 EHI917510 ERE917510 FBA917510 FKW917510 FUS917510 GEO917510 GOK917510 GYG917510 HIC917510 HRY917510 IBU917510 ILQ917510 IVM917510 JFI917510 JPE917510 JZA917510 KIW917510 KSS917510 LCO917510 LMK917510 LWG917510 MGC917510 MPY917510 MZU917510 NJQ917510 NTM917510 ODI917510 ONE917510 OXA917510 PGW917510 PQS917510 QAO917510 QKK917510 QUG917510 REC917510 RNY917510 RXU917510 SHQ917510 SRM917510 TBI917510 TLE917510 TVA917510 UEW917510 UOS917510 UYO917510 VIK917510 VSG917510 WCC917510 WLY917510 WVU917510 M983046 JI983046 TE983046 ADA983046 AMW983046 AWS983046 BGO983046 BQK983046 CAG983046 CKC983046 CTY983046 DDU983046 DNQ983046 DXM983046 EHI983046 ERE983046 FBA983046 FKW983046 FUS983046 GEO983046 GOK983046 GYG983046 HIC983046 HRY983046 IBU983046 ILQ983046 IVM983046 JFI983046 JPE983046 JZA983046 KIW983046 KSS983046 LCO983046 LMK983046 LWG983046 MGC983046 MPY983046 MZU983046 NJQ983046 NTM983046 ODI983046 ONE983046 OXA983046 PGW983046 PQS983046 QAO983046 QKK983046 QUG983046 REC983046 RNY983046 RXU983046 SHQ983046 SRM983046 TBI983046 TLE983046 TVA983046 UEW983046 UOS983046 UYO983046 VIK983046 VSG983046 WCC983046 WLY983046 WVU983046 M40 JI40 TE40 ADA40 AMW40 AWS40 BGO40 BQK40 CAG40 CKC40 CTY40 DDU40 DNQ40 DXM40 EHI40 ERE40 FBA40 FKW40 FUS40 GEO40 GOK40 GYG40 HIC40 HRY40 IBU40 ILQ40 IVM40 JFI40 JPE40 JZA40 KIW40 KSS40 LCO40 LMK40 LWG40 MGC40 MPY40 MZU40 NJQ40 NTM40 ODI40 ONE40 OXA40 PGW40 PQS40 QAO40 QKK40 QUG40 REC40 RNY40 RXU40 SHQ40 SRM40 TBI40 TLE40 TVA40 UEW40 UOS40 UYO40 VIK40 VSG40 WCC40 WLY40 WVU40 M65576 JI65576 TE65576 ADA65576 AMW65576 AWS65576 BGO65576 BQK65576 CAG65576 CKC65576 CTY65576 DDU65576 DNQ65576 DXM65576 EHI65576 ERE65576 FBA65576 FKW65576 FUS65576 GEO65576 GOK65576 GYG65576 HIC65576 HRY65576 IBU65576 ILQ65576 IVM65576 JFI65576 JPE65576 JZA65576 KIW65576 KSS65576 LCO65576 LMK65576 LWG65576 MGC65576 MPY65576 MZU65576 NJQ65576 NTM65576 ODI65576 ONE65576 OXA65576 PGW65576 PQS65576 QAO65576 QKK65576 QUG65576 REC65576 RNY65576 RXU65576 SHQ65576 SRM65576 TBI65576 TLE65576 TVA65576 UEW65576 UOS65576 UYO65576 VIK65576 VSG65576 WCC65576 WLY65576 WVU65576 M131112 JI131112 TE131112 ADA131112 AMW131112 AWS131112 BGO131112 BQK131112 CAG131112 CKC131112 CTY131112 DDU131112 DNQ131112 DXM131112 EHI131112 ERE131112 FBA131112 FKW131112 FUS131112 GEO131112 GOK131112 GYG131112 HIC131112 HRY131112 IBU131112 ILQ131112 IVM131112 JFI131112 JPE131112 JZA131112 KIW131112 KSS131112 LCO131112 LMK131112 LWG131112 MGC131112 MPY131112 MZU131112 NJQ131112 NTM131112 ODI131112 ONE131112 OXA131112 PGW131112 PQS131112 QAO131112 QKK131112 QUG131112 REC131112 RNY131112 RXU131112 SHQ131112 SRM131112 TBI131112 TLE131112 TVA131112 UEW131112 UOS131112 UYO131112 VIK131112 VSG131112 WCC131112 WLY131112 WVU131112 M196648 JI196648 TE196648 ADA196648 AMW196648 AWS196648 BGO196648 BQK196648 CAG196648 CKC196648 CTY196648 DDU196648 DNQ196648 DXM196648 EHI196648 ERE196648 FBA196648 FKW196648 FUS196648 GEO196648 GOK196648 GYG196648 HIC196648 HRY196648 IBU196648 ILQ196648 IVM196648 JFI196648 JPE196648 JZA196648 KIW196648 KSS196648 LCO196648 LMK196648 LWG196648 MGC196648 MPY196648 MZU196648 NJQ196648 NTM196648 ODI196648 ONE196648 OXA196648 PGW196648 PQS196648 QAO196648 QKK196648 QUG196648 REC196648 RNY196648 RXU196648 SHQ196648 SRM196648 TBI196648 TLE196648 TVA196648 UEW196648 UOS196648 UYO196648 VIK196648 VSG196648 WCC196648 WLY196648 WVU196648 M262184 JI262184 TE262184 ADA262184 AMW262184 AWS262184 BGO262184 BQK262184 CAG262184 CKC262184 CTY262184 DDU262184 DNQ262184 DXM262184 EHI262184 ERE262184 FBA262184 FKW262184 FUS262184 GEO262184 GOK262184 GYG262184 HIC262184 HRY262184 IBU262184 ILQ262184 IVM262184 JFI262184 JPE262184 JZA262184 KIW262184 KSS262184 LCO262184 LMK262184 LWG262184 MGC262184 MPY262184 MZU262184 NJQ262184 NTM262184 ODI262184 ONE262184 OXA262184 PGW262184 PQS262184 QAO262184 QKK262184 QUG262184 REC262184 RNY262184 RXU262184 SHQ262184 SRM262184 TBI262184 TLE262184 TVA262184 UEW262184 UOS262184 UYO262184 VIK262184 VSG262184 WCC262184 WLY262184 WVU262184 M327720 JI327720 TE327720 ADA327720 AMW327720 AWS327720 BGO327720 BQK327720 CAG327720 CKC327720 CTY327720 DDU327720 DNQ327720 DXM327720 EHI327720 ERE327720 FBA327720 FKW327720 FUS327720 GEO327720 GOK327720 GYG327720 HIC327720 HRY327720 IBU327720 ILQ327720 IVM327720 JFI327720 JPE327720 JZA327720 KIW327720 KSS327720 LCO327720 LMK327720 LWG327720 MGC327720 MPY327720 MZU327720 NJQ327720 NTM327720 ODI327720 ONE327720 OXA327720 PGW327720 PQS327720 QAO327720 QKK327720 QUG327720 REC327720 RNY327720 RXU327720 SHQ327720 SRM327720 TBI327720 TLE327720 TVA327720 UEW327720 UOS327720 UYO327720 VIK327720 VSG327720 WCC327720 WLY327720 WVU327720 M393256 JI393256 TE393256 ADA393256 AMW393256 AWS393256 BGO393256 BQK393256 CAG393256 CKC393256 CTY393256 DDU393256 DNQ393256 DXM393256 EHI393256 ERE393256 FBA393256 FKW393256 FUS393256 GEO393256 GOK393256 GYG393256 HIC393256 HRY393256 IBU393256 ILQ393256 IVM393256 JFI393256 JPE393256 JZA393256 KIW393256 KSS393256 LCO393256 LMK393256 LWG393256 MGC393256 MPY393256 MZU393256 NJQ393256 NTM393256 ODI393256 ONE393256 OXA393256 PGW393256 PQS393256 QAO393256 QKK393256 QUG393256 REC393256 RNY393256 RXU393256 SHQ393256 SRM393256 TBI393256 TLE393256 TVA393256 UEW393256 UOS393256 UYO393256 VIK393256 VSG393256 WCC393256 WLY393256 WVU393256 M458792 JI458792 TE458792 ADA458792 AMW458792 AWS458792 BGO458792 BQK458792 CAG458792 CKC458792 CTY458792 DDU458792 DNQ458792 DXM458792 EHI458792 ERE458792 FBA458792 FKW458792 FUS458792 GEO458792 GOK458792 GYG458792 HIC458792 HRY458792 IBU458792 ILQ458792 IVM458792 JFI458792 JPE458792 JZA458792 KIW458792 KSS458792 LCO458792 LMK458792 LWG458792 MGC458792 MPY458792 MZU458792 NJQ458792 NTM458792 ODI458792 ONE458792 OXA458792 PGW458792 PQS458792 QAO458792 QKK458792 QUG458792 REC458792 RNY458792 RXU458792 SHQ458792 SRM458792 TBI458792 TLE458792 TVA458792 UEW458792 UOS458792 UYO458792 VIK458792 VSG458792 WCC458792 WLY458792 WVU458792 M524328 JI524328 TE524328 ADA524328 AMW524328 AWS524328 BGO524328 BQK524328 CAG524328 CKC524328 CTY524328 DDU524328 DNQ524328 DXM524328 EHI524328 ERE524328 FBA524328 FKW524328 FUS524328 GEO524328 GOK524328 GYG524328 HIC524328 HRY524328 IBU524328 ILQ524328 IVM524328 JFI524328 JPE524328 JZA524328 KIW524328 KSS524328 LCO524328 LMK524328 LWG524328 MGC524328 MPY524328 MZU524328 NJQ524328 NTM524328 ODI524328 ONE524328 OXA524328 PGW524328 PQS524328 QAO524328 QKK524328 QUG524328 REC524328 RNY524328 RXU524328 SHQ524328 SRM524328 TBI524328 TLE524328 TVA524328 UEW524328 UOS524328 UYO524328 VIK524328 VSG524328 WCC524328 WLY524328 WVU524328 M589864 JI589864 TE589864 ADA589864 AMW589864 AWS589864 BGO589864 BQK589864 CAG589864 CKC589864 CTY589864 DDU589864 DNQ589864 DXM589864 EHI589864 ERE589864 FBA589864 FKW589864 FUS589864 GEO589864 GOK589864 GYG589864 HIC589864 HRY589864 IBU589864 ILQ589864 IVM589864 JFI589864 JPE589864 JZA589864 KIW589864 KSS589864 LCO589864 LMK589864 LWG589864 MGC589864 MPY589864 MZU589864 NJQ589864 NTM589864 ODI589864 ONE589864 OXA589864 PGW589864 PQS589864 QAO589864 QKK589864 QUG589864 REC589864 RNY589864 RXU589864 SHQ589864 SRM589864 TBI589864 TLE589864 TVA589864 UEW589864 UOS589864 UYO589864 VIK589864 VSG589864 WCC589864 WLY589864 WVU589864 M655400 JI655400 TE655400 ADA655400 AMW655400 AWS655400 BGO655400 BQK655400 CAG655400 CKC655400 CTY655400 DDU655400 DNQ655400 DXM655400 EHI655400 ERE655400 FBA655400 FKW655400 FUS655400 GEO655400 GOK655400 GYG655400 HIC655400 HRY655400 IBU655400 ILQ655400 IVM655400 JFI655400 JPE655400 JZA655400 KIW655400 KSS655400 LCO655400 LMK655400 LWG655400 MGC655400 MPY655400 MZU655400 NJQ655400 NTM655400 ODI655400 ONE655400 OXA655400 PGW655400 PQS655400 QAO655400 QKK655400 QUG655400 REC655400 RNY655400 RXU655400 SHQ655400 SRM655400 TBI655400 TLE655400 TVA655400 UEW655400 UOS655400 UYO655400 VIK655400 VSG655400 WCC655400 WLY655400 WVU655400 M720936 JI720936 TE720936 ADA720936 AMW720936 AWS720936 BGO720936 BQK720936 CAG720936 CKC720936 CTY720936 DDU720936 DNQ720936 DXM720936 EHI720936 ERE720936 FBA720936 FKW720936 FUS720936 GEO720936 GOK720936 GYG720936 HIC720936 HRY720936 IBU720936 ILQ720936 IVM720936 JFI720936 JPE720936 JZA720936 KIW720936 KSS720936 LCO720936 LMK720936 LWG720936 MGC720936 MPY720936 MZU720936 NJQ720936 NTM720936 ODI720936 ONE720936 OXA720936 PGW720936 PQS720936 QAO720936 QKK720936 QUG720936 REC720936 RNY720936 RXU720936 SHQ720936 SRM720936 TBI720936 TLE720936 TVA720936 UEW720936 UOS720936 UYO720936 VIK720936 VSG720936 WCC720936 WLY720936 WVU720936 M786472 JI786472 TE786472 ADA786472 AMW786472 AWS786472 BGO786472 BQK786472 CAG786472 CKC786472 CTY786472 DDU786472 DNQ786472 DXM786472 EHI786472 ERE786472 FBA786472 FKW786472 FUS786472 GEO786472 GOK786472 GYG786472 HIC786472 HRY786472 IBU786472 ILQ786472 IVM786472 JFI786472 JPE786472 JZA786472 KIW786472 KSS786472 LCO786472 LMK786472 LWG786472 MGC786472 MPY786472 MZU786472 NJQ786472 NTM786472 ODI786472 ONE786472 OXA786472 PGW786472 PQS786472 QAO786472 QKK786472 QUG786472 REC786472 RNY786472 RXU786472 SHQ786472 SRM786472 TBI786472 TLE786472 TVA786472 UEW786472 UOS786472 UYO786472 VIK786472 VSG786472 WCC786472 WLY786472 WVU786472 M852008 JI852008 TE852008 ADA852008 AMW852008 AWS852008 BGO852008 BQK852008 CAG852008 CKC852008 CTY852008 DDU852008 DNQ852008 DXM852008 EHI852008 ERE852008 FBA852008 FKW852008 FUS852008 GEO852008 GOK852008 GYG852008 HIC852008 HRY852008 IBU852008 ILQ852008 IVM852008 JFI852008 JPE852008 JZA852008 KIW852008 KSS852008 LCO852008 LMK852008 LWG852008 MGC852008 MPY852008 MZU852008 NJQ852008 NTM852008 ODI852008 ONE852008 OXA852008 PGW852008 PQS852008 QAO852008 QKK852008 QUG852008 REC852008 RNY852008 RXU852008 SHQ852008 SRM852008 TBI852008 TLE852008 TVA852008 UEW852008 UOS852008 UYO852008 VIK852008 VSG852008 WCC852008 WLY852008 WVU852008 M917544 JI917544 TE917544 ADA917544 AMW917544 AWS917544 BGO917544 BQK917544 CAG917544 CKC917544 CTY917544 DDU917544 DNQ917544 DXM917544 EHI917544 ERE917544 FBA917544 FKW917544 FUS917544 GEO917544 GOK917544 GYG917544 HIC917544 HRY917544 IBU917544 ILQ917544 IVM917544 JFI917544 JPE917544 JZA917544 KIW917544 KSS917544 LCO917544 LMK917544 LWG917544 MGC917544 MPY917544 MZU917544 NJQ917544 NTM917544 ODI917544 ONE917544 OXA917544 PGW917544 PQS917544 QAO917544 QKK917544 QUG917544 REC917544 RNY917544 RXU917544 SHQ917544 SRM917544 TBI917544 TLE917544 TVA917544 UEW917544 UOS917544 UYO917544 VIK917544 VSG917544 WCC917544 WLY917544 WVU917544 M983080 JI983080 TE983080 ADA983080 AMW983080 AWS983080 BGO983080 BQK983080 CAG983080 CKC983080 CTY983080 DDU983080 DNQ983080 DXM983080 EHI983080 ERE983080 FBA983080 FKW983080 FUS983080 GEO983080 GOK983080 GYG983080 HIC983080 HRY983080 IBU983080 ILQ983080 IVM983080 JFI983080 JPE983080 JZA983080 KIW983080 KSS983080 LCO983080 LMK983080 LWG983080 MGC983080 MPY983080 MZU983080 NJQ983080 NTM983080 ODI983080 ONE983080 OXA983080 PGW983080 PQS983080 QAO983080 QKK983080 QUG983080 REC983080 RNY983080 RXU983080 SHQ983080 SRM983080 TBI983080 TLE983080 TVA983080 UEW983080 UOS983080 UYO983080 VIK983080 VSG983080 WCC983080 WLY983080 WVU983080" xr:uid="{B1379D56-725F-4721-B9A6-EA98CBE00D19}">
      <formula1>0</formula1>
      <formula2>0</formula2>
    </dataValidation>
  </dataValidations>
  <pageMargins left="0.78749999999999998" right="0.78749999999999998" top="0.98402777777777772" bottom="0.98402777777777772" header="0.51180555555555551" footer="0.51180555555555551"/>
  <pageSetup paperSize="9" scale="92" firstPageNumber="0"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vt:i4>
      </vt:variant>
    </vt:vector>
  </HeadingPairs>
  <TitlesOfParts>
    <vt:vector size="5" baseType="lpstr">
      <vt:lpstr>InvoiceData</vt:lpstr>
      <vt:lpstr>Detail</vt:lpstr>
      <vt:lpstr>Receipt</vt:lpstr>
      <vt:lpstr>Lunch</vt:lpstr>
      <vt:lpstr>Detail!Print_Area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2015-06-05T18:19:34Z</dcterms:created>
  <dcterms:modified xsi:type="dcterms:W3CDTF">2021-05-12T05:13:19Z</dcterms:modified>
</cp:coreProperties>
</file>