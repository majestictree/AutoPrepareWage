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68C7EE3D-28A3-41A2-951C-C3E55A6D896F}" xr6:coauthVersionLast="47" xr6:coauthVersionMax="47" xr10:uidLastSave="{00000000-0000-0000-0000-000000000000}"/>
  <bookViews>
    <workbookView xWindow="-120" yWindow="-120" windowWidth="21840" windowHeight="13140"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0" i="6" l="1"/>
  <c r="G22" i="5"/>
  <c r="G16" i="5"/>
  <c r="B3" i="1"/>
  <c r="B2" i="1"/>
  <c r="D31" i="7"/>
  <c r="B31" i="7"/>
  <c r="F43" i="7"/>
  <c r="D43" i="7"/>
  <c r="T20" i="6" l="1"/>
  <c r="E5" i="5" l="1" a="1"/>
  <c r="E5" i="5" s="1"/>
  <c r="U8" i="6" a="1"/>
  <c r="U8" i="6" s="1"/>
  <c r="D5" i="7" a="1"/>
  <c r="D5" i="7" s="1"/>
  <c r="W14" i="7"/>
  <c r="W17" i="7" s="1"/>
  <c r="I37" i="7" s="1"/>
  <c r="D35" i="7" a="1"/>
  <c r="D35" i="7" s="1"/>
  <c r="T21" i="6"/>
  <c r="H8" i="5"/>
  <c r="G9" i="5"/>
  <c r="G17" i="5"/>
  <c r="G21" i="5" s="1"/>
  <c r="J10"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<sst xmlns="http://schemas.openxmlformats.org/spreadsheetml/2006/main" count="130" uniqueCount="112">
  <si>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</si>
  <si>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</si>
  <si>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</si>
  <si>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</si>
  <si>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</si>
  <si>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</si>
  <si>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</si>
  <si>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</si>
  <si>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</si>
  <si>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</si>
  <si>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</si>
  <si>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</si>
  <si>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</si>
  <si>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</si>
  <si>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</si>
  <si>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</si>
  <si>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</si>
  <si>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</si>
  <si>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</si>
  <si>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</si>
  <si>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</si>
  <si>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</si>
  <si>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</si>
  <si>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</si>
  <si>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</si>
  <si>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</si>
  <si>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</si>
  <si>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</si>
  <si>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</si>
  <si>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</si>
  <si>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</si>
  <si>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</si>
  <si>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</si>
  <si>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</si>
  <si>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</si>
  <si>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</si>
  <si>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</si>
  <si>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</si>
  <si>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</si>
  <si>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</si>
  <si>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</si>
  <si>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</si>
  <si>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</si>
  <si>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</si>
  <si>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</si>
  <si>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</si>
  <si>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</si>
  <si>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</si>
  <si>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</si>
  <si>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</si>
  <si>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</si>
  <si>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</si>
  <si>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</si>
  <si>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</si>
  <si>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</si>
  <si>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</si>
  <si>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</si>
  <si>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</si>
  <si>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</si>
  <si>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</si>
  <si>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</si>
  <si>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</si>
  <si>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</si>
  <si>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</si>
  <si>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</si>
  <si>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</si>
  <si>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</si>
  <si>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</si>
  <si>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</si>
  <si>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</si>
  <si>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</si>
  <si>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</si>
  <si>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月分</t>
    <rPh sb="0" eb="2">
      <t>ガツブン</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</si>
  <si>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</si>
  <si>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</si>
  <si>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</si>
  <si>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</si>
  <si>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</si>
  <si>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</si>
  <si>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</si>
  <si>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</si>
  <si>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</si>
  <si>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令和</t>
    <rPh sb="0" eb="2">
      <t>レイワ</t>
    </rPh>
    <phoneticPr fontId="1"/>
  </si>
  <si>
    <t>②データを転記</t>
    <rPh sb="5" eb="7">
      <t>テンキ</t>
    </rPh>
    <phoneticPr fontId="1"/>
  </si>
  <si>
    <t>③ボタンを押す→</t>
    <rPh sb="5" eb="6">
      <t>オ</t>
    </rPh>
    <phoneticPr fontId="1"/>
  </si>
  <si>
    <t>①支給日を入力　→</t>
    <rPh sb="1" eb="4">
      <t>シキュウビ</t>
    </rPh>
    <rPh sb="5" eb="7">
      <t>ニュウリョク</t>
    </rPh>
    <phoneticPr fontId="1"/>
  </si>
  <si>
    <t>交通費</t>
    <rPh sb="0" eb="3">
      <t>コウツウヒ</t>
    </rPh>
    <phoneticPr fontId="1"/>
  </si>
  <si>
    <t>総合計額</t>
    <rPh sb="0" eb="1">
      <t>ソウ</t>
    </rPh>
    <rPh sb="1" eb="3">
      <t>ゴウケイ</t>
    </rPh>
    <rPh sb="3" eb="4">
      <t>ガク</t>
    </rPh>
    <phoneticPr fontId="1"/>
  </si>
  <si>
    <t>小平謙二</t>
  </si>
  <si>
    <t>湊清次</t>
  </si>
  <si>
    <t>広田奈津美</t>
  </si>
  <si>
    <t>浅野沙希</t>
  </si>
  <si>
    <t>坂井章子</t>
  </si>
  <si>
    <t>白川心菜</t>
  </si>
  <si>
    <t>土肥政男</t>
  </si>
  <si>
    <t>川井佳那子</t>
  </si>
  <si>
    <t>本郷花凛</t>
  </si>
  <si>
    <t>甲斐直治</t>
  </si>
  <si>
    <t>大塚重光</t>
  </si>
  <si>
    <t>鳥居玲子</t>
  </si>
  <si>
    <t>高木凪紗</t>
  </si>
  <si>
    <t>矢口一三</t>
  </si>
  <si>
    <t>桜井春奈</t>
  </si>
  <si>
    <t>竹田芽生</t>
  </si>
  <si>
    <t>小寺恒男</t>
  </si>
  <si>
    <t>染谷光義</t>
  </si>
  <si>
    <t>深田涼音</t>
  </si>
  <si>
    <t>金子咲希</t>
  </si>
  <si>
    <t>島明里</t>
  </si>
  <si>
    <t>三沢美也子</t>
  </si>
  <si>
    <t>内海颯空</t>
  </si>
  <si>
    <t>佐藤雪海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</si>
</sst>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quot;¥&quot;#,##0_);[Red]\(&quot;¥&quot;#,##0\)"/>
    <numFmt numFmtId="177" formatCode="&quot;¥ &quot;#,##0_);[Red]&quot;¥ -&quot;#,##0_)"/>
    <numFmt numFmtId="178" formatCode="__@__\)"/>
    <numFmt numFmtId="179" formatCode="#,##0_);[Red]\-#,##0_)"/>
    <numFmt numFmtId="180" formatCode="#,##0_)"/>
    <numFmt numFmtId="181" formatCode="\¥#,##0;&quot;¥-&quot;#,##0"/>
    <numFmt numFmtId="182" formatCode="[$-F800]dddd\,\ mmmm\ dd\,\ yyyy"/>
  </numFmts>
  <fonts count="40">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
      <sz val="11"/>
      <color rgb="FF000000"/>
      <name val="Yu Gothic"/>
      <family val="3"/>
      <charset val="128"/>
    </font>
  </fonts>
  <fills count="10">
    <fill>
      <patternFill patternType="none"/>
    </fill>
    <fill>
      <patternFill patternType="gray125"/>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C0C0C0"/>
        <bgColor indexed="31"/>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55">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
      <left/>
      <right/>
      <top style="thin">
        <color auto="1"/>
      </top>
      <bottom style="double">
        <color auto="1"/>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94">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8"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2"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11" fillId="0" borderId="0" xfId="3" applyFont="1">
      <alignment vertical="center"/>
    </xf>
    <xf numFmtId="0" fontId="11" fillId="0" borderId="39" xfId="3" applyFont="1" applyBorder="1">
      <alignment vertical="center"/>
    </xf>
    <xf numFmtId="178" fontId="11" fillId="3" borderId="44" xfId="3" applyNumberFormat="1" applyFont="1" applyFill="1" applyBorder="1" applyAlignment="1" applyProtection="1">
      <alignment horizontal="center" vertical="center"/>
      <protection locked="0"/>
    </xf>
    <xf numFmtId="178" fontId="11" fillId="3" borderId="46"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50" xfId="6" applyFont="1" applyBorder="1" applyAlignment="1">
      <alignment horizontal="center" vertical="center"/>
    </xf>
    <xf numFmtId="0" fontId="17" fillId="0" borderId="50" xfId="6" applyFont="1" applyBorder="1" applyAlignment="1">
      <alignment vertical="center"/>
    </xf>
    <xf numFmtId="0" fontId="20" fillId="0" borderId="50"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2"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0" fontId="0" fillId="0" borderId="0" xfId="0" applyAlignment="1">
      <alignment horizontal="center"/>
    </xf>
    <xf numFmtId="0" fontId="0" fillId="0" borderId="0" xfId="0" applyAlignment="1">
      <alignment horizontal="left"/>
    </xf>
    <xf numFmtId="0" fontId="2" fillId="0" borderId="8"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0" fillId="0" borderId="16" xfId="0" applyBorder="1" applyAlignment="1">
      <alignment horizontal="center" shrinkToFit="1"/>
    </xf>
    <xf numFmtId="0" fontId="11" fillId="6" borderId="0" xfId="3" applyFont="1" applyFill="1" applyAlignment="1" applyProtection="1">
      <alignment horizontal="center" vertical="center"/>
      <protection locked="0"/>
    </xf>
    <xf numFmtId="0" fontId="0" fillId="8" borderId="0" xfId="0" applyFill="1"/>
    <xf numFmtId="0" fontId="0" fillId="7" borderId="0" xfId="0" applyFill="1" applyAlignment="1">
      <alignment horizontal="left"/>
    </xf>
    <xf numFmtId="14" fontId="0" fillId="7" borderId="0" xfId="0" applyNumberFormat="1" applyFill="1" applyAlignment="1">
      <alignment horizontal="left"/>
    </xf>
    <xf numFmtId="0" fontId="0" fillId="9" borderId="0" xfId="0" applyFill="1"/>
    <xf numFmtId="0" fontId="0" fillId="0" borderId="54" xfId="0" applyBorder="1" applyAlignment="1">
      <alignment horizontal="center" wrapText="1"/>
    </xf>
    <xf numFmtId="0" fontId="0" fillId="0" borderId="54" xfId="0" applyBorder="1" applyAlignment="1">
      <alignment horizontal="center"/>
    </xf>
    <xf numFmtId="0" fontId="3" fillId="0" borderId="0" xfId="1" applyFont="1" applyAlignment="1">
      <alignment horizontal="center" vertical="center"/>
    </xf>
    <xf numFmtId="0" fontId="2"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5"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3" xfId="1" applyFont="1" applyBorder="1" applyAlignment="1">
      <alignment horizontal="center" vertical="center"/>
    </xf>
    <xf numFmtId="0" fontId="2" fillId="0" borderId="4" xfId="1" applyFont="1" applyBorder="1" applyAlignment="1">
      <alignment horizontal="center" vertical="center"/>
    </xf>
    <xf numFmtId="38" fontId="2" fillId="0" borderId="14" xfId="2" applyFont="1" applyBorder="1" applyAlignment="1" applyProtection="1">
      <alignment horizontal="right" vertical="center"/>
      <protection locked="0"/>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12" xfId="1" applyFont="1" applyBorder="1" applyAlignment="1" applyProtection="1">
      <alignment horizontal="center" vertical="center"/>
      <protection locked="0"/>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2" fillId="0" borderId="13" xfId="1" applyFont="1" applyBorder="1" applyAlignment="1" applyProtection="1">
      <alignment horizontal="center"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3"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35" xfId="1" applyFont="1" applyBorder="1" applyAlignment="1">
      <alignment horizontal="center" vertical="center" wrapText="1"/>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23" xfId="1" applyFont="1" applyBorder="1" applyAlignment="1">
      <alignment horizontal="center" vertical="center"/>
    </xf>
    <xf numFmtId="0" fontId="2" fillId="0" borderId="24" xfId="1" applyFont="1" applyBorder="1" applyAlignment="1">
      <alignment horizontal="center" vertical="center"/>
    </xf>
    <xf numFmtId="0" fontId="2" fillId="0" borderId="37" xfId="1" applyFont="1" applyBorder="1" applyAlignment="1">
      <alignment horizontal="center" vertical="center"/>
    </xf>
    <xf numFmtId="38" fontId="8" fillId="0" borderId="37"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6" xfId="2" applyFont="1" applyBorder="1">
      <alignment vertical="center"/>
    </xf>
    <xf numFmtId="38" fontId="8" fillId="0" borderId="0" xfId="2" applyFont="1" applyBorder="1">
      <alignment vertical="center"/>
    </xf>
    <xf numFmtId="176" fontId="2" fillId="0" borderId="31" xfId="1" applyNumberFormat="1" applyFont="1" applyBorder="1" applyProtection="1">
      <alignment vertical="center"/>
      <protection locked="0"/>
    </xf>
    <xf numFmtId="176" fontId="2" fillId="0" borderId="12" xfId="1" applyNumberFormat="1" applyFont="1" applyBorder="1" applyProtection="1">
      <alignment vertical="center"/>
      <protection locked="0"/>
    </xf>
    <xf numFmtId="176" fontId="2" fillId="0" borderId="13" xfId="1" applyNumberFormat="1" applyFont="1" applyBorder="1" applyProtection="1">
      <alignment vertical="center"/>
      <protection locked="0"/>
    </xf>
    <xf numFmtId="176" fontId="2" fillId="0" borderId="34" xfId="1" applyNumberFormat="1" applyFont="1" applyBorder="1" applyProtection="1">
      <alignment vertical="center"/>
      <protection locked="0"/>
    </xf>
    <xf numFmtId="176" fontId="2" fillId="0" borderId="16" xfId="1" applyNumberFormat="1" applyFont="1" applyBorder="1" applyProtection="1">
      <alignment vertical="center"/>
      <protection locked="0"/>
    </xf>
    <xf numFmtId="176" fontId="2" fillId="0" borderId="33" xfId="1" applyNumberFormat="1" applyFont="1" applyBorder="1" applyProtection="1">
      <alignment vertical="center"/>
      <protection locked="0"/>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0" fontId="11" fillId="3" borderId="46" xfId="3" applyFont="1" applyFill="1" applyBorder="1" applyAlignment="1">
      <alignment horizontal="center" vertical="center"/>
    </xf>
    <xf numFmtId="0" fontId="11" fillId="3" borderId="45" xfId="3" applyFont="1" applyFill="1" applyBorder="1" applyAlignment="1">
      <alignment horizontal="center" vertical="center"/>
    </xf>
    <xf numFmtId="0" fontId="11" fillId="3" borderId="44" xfId="3" applyFont="1" applyFill="1" applyBorder="1" applyAlignment="1">
      <alignment horizontal="center" vertical="center"/>
    </xf>
    <xf numFmtId="0" fontId="11" fillId="0" borderId="46" xfId="3" applyFont="1" applyBorder="1" applyAlignment="1">
      <alignment horizontal="center"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0" fontId="11" fillId="0" borderId="46" xfId="3" applyFont="1" applyBorder="1" applyAlignment="1" applyProtection="1">
      <alignment horizontal="center"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3" borderId="46" xfId="3" applyFont="1" applyFill="1" applyBorder="1" applyAlignment="1" applyProtection="1">
      <alignment horizontal="center" vertical="center"/>
      <protection locked="0"/>
    </xf>
    <xf numFmtId="0" fontId="11" fillId="3" borderId="45" xfId="3" applyFont="1" applyFill="1" applyBorder="1" applyAlignment="1" applyProtection="1">
      <alignment horizontal="center" vertical="center"/>
      <protection locked="0"/>
    </xf>
    <xf numFmtId="0" fontId="11" fillId="3" borderId="44" xfId="3" applyFont="1" applyFill="1" applyBorder="1" applyAlignment="1" applyProtection="1">
      <alignment horizontal="center" vertical="center"/>
      <protection locked="0"/>
    </xf>
    <xf numFmtId="178" fontId="11" fillId="3" borderId="46" xfId="3" applyNumberFormat="1" applyFont="1" applyFill="1" applyBorder="1" applyAlignment="1" applyProtection="1">
      <alignment horizontal="center" vertical="center"/>
      <protection locked="0"/>
    </xf>
    <xf numFmtId="178" fontId="11" fillId="3" borderId="45" xfId="3" applyNumberFormat="1" applyFont="1" applyFill="1" applyBorder="1" applyAlignment="1" applyProtection="1">
      <alignment horizontal="center" vertical="center"/>
      <protection locked="0"/>
    </xf>
    <xf numFmtId="178" fontId="11" fillId="3" borderId="44" xfId="3" applyNumberFormat="1" applyFont="1" applyFill="1" applyBorder="1" applyAlignment="1" applyProtection="1">
      <alignment horizontal="center" vertical="center"/>
      <protection locked="0"/>
    </xf>
    <xf numFmtId="178" fontId="11" fillId="0" borderId="46" xfId="3" applyNumberFormat="1" applyFont="1" applyBorder="1" applyAlignment="1" applyProtection="1">
      <alignment horizontal="center" vertical="center"/>
      <protection locked="0"/>
    </xf>
    <xf numFmtId="178" fontId="11" fillId="0" borderId="45" xfId="3" applyNumberFormat="1" applyFont="1" applyBorder="1" applyAlignment="1" applyProtection="1">
      <alignment horizontal="center" vertical="center"/>
      <protection locked="0"/>
    </xf>
    <xf numFmtId="178" fontId="11" fillId="0" borderId="44" xfId="3" applyNumberFormat="1" applyFont="1" applyBorder="1" applyAlignment="1" applyProtection="1">
      <alignment horizontal="center" vertical="center"/>
      <protection locked="0"/>
    </xf>
    <xf numFmtId="180" fontId="11" fillId="3" borderId="42" xfId="3" applyNumberFormat="1" applyFont="1" applyFill="1" applyBorder="1" applyAlignment="1" applyProtection="1">
      <alignment horizontal="right" vertical="center"/>
      <protection locked="0"/>
    </xf>
    <xf numFmtId="179" fontId="11" fillId="3" borderId="42" xfId="3" applyNumberFormat="1" applyFont="1" applyFill="1" applyBorder="1" applyAlignment="1" applyProtection="1">
      <alignment horizontal="right" vertical="center"/>
      <protection locked="0"/>
    </xf>
    <xf numFmtId="179" fontId="11" fillId="0" borderId="42" xfId="3" applyNumberFormat="1" applyFont="1" applyBorder="1" applyAlignment="1" applyProtection="1">
      <alignment horizontal="right" vertical="center"/>
      <protection locked="0"/>
    </xf>
    <xf numFmtId="180" fontId="11" fillId="0" borderId="42" xfId="3" applyNumberFormat="1" applyFont="1" applyBorder="1" applyAlignment="1" applyProtection="1">
      <alignment horizontal="right" vertical="center"/>
      <protection locked="0"/>
    </xf>
    <xf numFmtId="0" fontId="11" fillId="0" borderId="40" xfId="3" applyFont="1" applyBorder="1" applyAlignment="1" applyProtection="1">
      <alignment horizontal="center" vertical="center"/>
      <protection locked="0"/>
    </xf>
    <xf numFmtId="0" fontId="11" fillId="0" borderId="0" xfId="3" applyFont="1" applyAlignment="1">
      <alignment horizontal="center" vertical="center"/>
    </xf>
    <xf numFmtId="0" fontId="13" fillId="2" borderId="43" xfId="3" applyFont="1" applyFill="1" applyBorder="1" applyAlignment="1">
      <alignment horizontal="center" vertical="center"/>
    </xf>
    <xf numFmtId="177" fontId="12" fillId="0" borderId="42" xfId="3" applyNumberFormat="1" applyFont="1" applyBorder="1" applyAlignment="1">
      <alignment horizontal="right" vertical="center"/>
    </xf>
    <xf numFmtId="0" fontId="11" fillId="0" borderId="41" xfId="3" applyFont="1" applyBorder="1" applyAlignment="1" applyProtection="1">
      <alignment horizontal="center" vertical="center"/>
      <protection locked="0"/>
    </xf>
    <xf numFmtId="179" fontId="11" fillId="6" borderId="42" xfId="3" applyNumberFormat="1" applyFont="1" applyFill="1" applyBorder="1" applyAlignment="1" applyProtection="1">
      <alignment horizontal="right" vertical="center"/>
      <protection locked="0"/>
    </xf>
    <xf numFmtId="179" fontId="11" fillId="0" borderId="46" xfId="3" applyNumberFormat="1" applyFont="1" applyBorder="1" applyAlignment="1" applyProtection="1">
      <alignment horizontal="right" vertical="center"/>
      <protection locked="0"/>
    </xf>
    <xf numFmtId="179" fontId="11" fillId="0" borderId="45" xfId="3" applyNumberFormat="1" applyFont="1" applyBorder="1" applyAlignment="1" applyProtection="1">
      <alignment horizontal="right" vertical="center"/>
      <protection locked="0"/>
    </xf>
    <xf numFmtId="179" fontId="11" fillId="0" borderId="44" xfId="3" applyNumberFormat="1" applyFont="1" applyBorder="1" applyAlignment="1" applyProtection="1">
      <alignment horizontal="right" vertical="center"/>
      <protection locked="0"/>
    </xf>
    <xf numFmtId="0" fontId="17" fillId="0" borderId="42" xfId="5" applyFont="1" applyBorder="1" applyAlignment="1" applyProtection="1">
      <alignment horizontal="center" vertical="center"/>
      <protection locked="0"/>
    </xf>
    <xf numFmtId="0" fontId="11" fillId="0" borderId="42" xfId="3" applyFont="1" applyBorder="1" applyAlignment="1">
      <alignment horizontal="center" vertical="center"/>
    </xf>
    <xf numFmtId="0" fontId="13" fillId="2" borderId="47" xfId="3" applyFont="1" applyFill="1" applyBorder="1" applyAlignment="1">
      <alignment horizontal="center" vertical="center"/>
    </xf>
    <xf numFmtId="179" fontId="11" fillId="6" borderId="42" xfId="4" applyNumberFormat="1" applyFont="1" applyFill="1" applyBorder="1" applyAlignment="1" applyProtection="1">
      <alignment horizontal="right" vertical="center"/>
      <protection locked="0"/>
    </xf>
    <xf numFmtId="180" fontId="11" fillId="0" borderId="42" xfId="3" applyNumberFormat="1" applyFont="1" applyBorder="1" applyAlignment="1">
      <alignment horizontal="right" vertical="center"/>
    </xf>
    <xf numFmtId="179" fontId="11" fillId="0" borderId="42" xfId="3" applyNumberFormat="1" applyFont="1" applyBorder="1" applyAlignment="1">
      <alignment horizontal="right" vertical="center"/>
    </xf>
    <xf numFmtId="179" fontId="15" fillId="5" borderId="42" xfId="4" applyNumberFormat="1" applyFont="1" applyFill="1" applyBorder="1" applyAlignment="1" applyProtection="1">
      <alignment horizontal="right" vertical="center"/>
      <protection locked="0"/>
    </xf>
    <xf numFmtId="180" fontId="11" fillId="5" borderId="42" xfId="3" applyNumberFormat="1" applyFont="1" applyFill="1" applyBorder="1" applyAlignment="1" applyProtection="1">
      <alignment horizontal="right" vertical="center"/>
      <protection locked="0"/>
    </xf>
    <xf numFmtId="179" fontId="11" fillId="3" borderId="42" xfId="3" applyNumberFormat="1" applyFont="1" applyFill="1" applyBorder="1" applyAlignment="1">
      <alignment horizontal="right" vertical="center"/>
    </xf>
    <xf numFmtId="0" fontId="19" fillId="0" borderId="0" xfId="3" applyFont="1" applyAlignment="1">
      <alignment horizontal="center" vertical="center"/>
    </xf>
    <xf numFmtId="49" fontId="0" fillId="0" borderId="48" xfId="5" applyNumberFormat="1" applyFont="1" applyBorder="1" applyAlignment="1">
      <alignment horizontal="center" vertical="center"/>
    </xf>
    <xf numFmtId="0" fontId="11" fillId="0" borderId="48" xfId="3" applyFont="1" applyBorder="1" applyAlignment="1">
      <alignment horizontal="center" vertical="center"/>
    </xf>
    <xf numFmtId="0" fontId="18" fillId="0" borderId="0" xfId="5" applyFont="1" applyAlignment="1" applyProtection="1">
      <alignment horizontal="center" vertical="center"/>
      <protection locked="0"/>
    </xf>
    <xf numFmtId="182" fontId="17" fillId="0" borderId="0" xfId="6" applyNumberFormat="1" applyFont="1" applyAlignment="1">
      <alignment horizontal="center" vertical="center"/>
    </xf>
    <xf numFmtId="0" fontId="17" fillId="0" borderId="0" xfId="6" applyFont="1" applyAlignment="1">
      <alignment horizontal="center" vertical="center"/>
    </xf>
    <xf numFmtId="0" fontId="20" fillId="0" borderId="0" xfId="6" applyFont="1" applyAlignment="1">
      <alignment horizontal="center" vertical="center"/>
    </xf>
    <xf numFmtId="0" fontId="22" fillId="0" borderId="0" xfId="6" applyFont="1" applyAlignment="1">
      <alignment horizontal="center" vertical="center"/>
    </xf>
    <xf numFmtId="0" fontId="33" fillId="0" borderId="45" xfId="6" applyFont="1" applyBorder="1" applyAlignment="1" applyProtection="1">
      <alignment horizontal="center" vertical="center"/>
      <protection locked="0"/>
    </xf>
    <xf numFmtId="0" fontId="33" fillId="0" borderId="44" xfId="6" applyFont="1" applyBorder="1" applyAlignment="1" applyProtection="1">
      <alignment horizontal="center" vertical="center"/>
      <protection locked="0"/>
    </xf>
    <xf numFmtId="0" fontId="37" fillId="0" borderId="0" xfId="6" applyFont="1" applyAlignment="1">
      <alignment horizontal="center" vertical="center"/>
    </xf>
    <xf numFmtId="0" fontId="37" fillId="0" borderId="50" xfId="6" applyFont="1" applyBorder="1" applyAlignment="1">
      <alignment horizontal="center" vertical="center"/>
    </xf>
    <xf numFmtId="181" fontId="35" fillId="0" borderId="0" xfId="6" applyNumberFormat="1" applyFont="1" applyAlignment="1">
      <alignment horizontal="center" vertical="center"/>
    </xf>
    <xf numFmtId="181" fontId="35" fillId="0" borderId="53" xfId="6" applyNumberFormat="1" applyFont="1" applyBorder="1" applyAlignment="1">
      <alignment horizontal="center" vertical="center"/>
    </xf>
    <xf numFmtId="38" fontId="17" fillId="0" borderId="42" xfId="7" applyFont="1" applyFill="1" applyBorder="1" applyAlignment="1" applyProtection="1">
      <alignment horizontal="right" vertical="center"/>
    </xf>
    <xf numFmtId="182" fontId="17" fillId="0" borderId="0" xfId="6" applyNumberFormat="1" applyFont="1" applyAlignment="1">
      <alignment horizontal="right" vertical="center"/>
    </xf>
    <xf numFmtId="0" fontId="27" fillId="0" borderId="48" xfId="6" applyFont="1" applyBorder="1" applyAlignment="1">
      <alignment horizontal="center" vertical="center"/>
    </xf>
    <xf numFmtId="0" fontId="17" fillId="4" borderId="42" xfId="6" applyFont="1" applyFill="1" applyBorder="1" applyAlignment="1">
      <alignment horizontal="center" vertical="center"/>
    </xf>
    <xf numFmtId="38" fontId="32" fillId="0" borderId="42" xfId="7" applyFont="1" applyFill="1" applyBorder="1" applyAlignment="1" applyProtection="1">
      <alignment horizontal="right" vertical="center"/>
    </xf>
    <xf numFmtId="38" fontId="17" fillId="0" borderId="42" xfId="7" applyFont="1" applyFill="1" applyBorder="1" applyAlignment="1" applyProtection="1">
      <alignment horizontal="right" vertical="center"/>
      <protection locked="0"/>
    </xf>
    <xf numFmtId="0" fontId="17" fillId="0" borderId="0" xfId="6" applyFont="1" applyAlignment="1" applyProtection="1">
      <alignment horizontal="right" vertical="center"/>
      <protection locked="0"/>
    </xf>
    <xf numFmtId="0" fontId="23" fillId="0" borderId="0" xfId="6" applyFont="1" applyAlignment="1" applyProtection="1">
      <alignment horizontal="right" vertical="center"/>
      <protection locked="0"/>
    </xf>
    <xf numFmtId="0" fontId="26" fillId="0" borderId="48" xfId="6" applyFont="1" applyBorder="1" applyAlignment="1">
      <alignment horizontal="center" vertical="center"/>
    </xf>
    <xf numFmtId="0" fontId="36" fillId="0" borderId="53" xfId="6" applyFont="1" applyBorder="1" applyAlignment="1">
      <alignment horizontal="center" vertical="center"/>
    </xf>
    <xf numFmtId="0" fontId="17" fillId="0" borderId="45" xfId="6" applyFont="1" applyBorder="1" applyAlignment="1" applyProtection="1">
      <alignment horizontal="center" vertical="center"/>
      <protection locked="0"/>
    </xf>
    <xf numFmtId="0" fontId="17" fillId="0" borderId="44" xfId="6" applyFont="1" applyBorder="1" applyAlignment="1" applyProtection="1">
      <alignment horizontal="center" vertical="center"/>
      <protection locked="0"/>
    </xf>
    <xf numFmtId="0" fontId="27" fillId="0" borderId="1" xfId="6" applyFont="1" applyBorder="1" applyAlignment="1">
      <alignment horizontal="center" vertical="center"/>
    </xf>
    <xf numFmtId="38" fontId="24" fillId="0" borderId="0" xfId="7" applyFont="1" applyBorder="1" applyAlignment="1">
      <alignment horizontal="center" vertical="center"/>
    </xf>
    <xf numFmtId="38" fontId="24" fillId="0" borderId="49" xfId="7" applyFont="1" applyBorder="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9" xfId="6" applyFont="1" applyBorder="1" applyAlignment="1">
      <alignment horizontal="center" vertical="center"/>
    </xf>
    <xf numFmtId="0" fontId="28" fillId="0" borderId="0" xfId="6" applyFont="1" applyAlignment="1">
      <alignment horizontal="center" vertical="center"/>
    </xf>
    <xf numFmtId="0" fontId="17" fillId="4" borderId="46" xfId="6" applyFont="1" applyFill="1" applyBorder="1" applyAlignment="1">
      <alignment horizontal="center" vertical="center"/>
    </xf>
    <xf numFmtId="0" fontId="17" fillId="4" borderId="45" xfId="6" applyFont="1" applyFill="1" applyBorder="1" applyAlignment="1">
      <alignment horizontal="center" vertical="center"/>
    </xf>
    <xf numFmtId="0" fontId="17" fillId="4" borderId="44" xfId="6" applyFont="1" applyFill="1" applyBorder="1" applyAlignment="1">
      <alignment horizontal="center" vertical="center"/>
    </xf>
    <xf numFmtId="0" fontId="17" fillId="0" borderId="45" xfId="6" applyFont="1" applyBorder="1" applyAlignment="1">
      <alignment horizontal="center" vertical="center"/>
    </xf>
    <xf numFmtId="0" fontId="17" fillId="0" borderId="51" xfId="6" applyFont="1" applyBorder="1" applyAlignment="1">
      <alignment horizontal="center" vertical="center"/>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247650</xdr:colOff>
          <xdr:row>1</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00000000-0008-0000-0300-000002000000}"/>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
  <sheetViews>
    <sheetView tabSelected="1" workbookViewId="0">
      <selection activeCell="G5" sqref="G5"/>
    </sheetView>
  </sheetViews>
  <sheetFormatPr defaultRowHeight="18.75"/>
  <cols>
    <col min="1" max="1" width="17.25" bestFit="1" customWidth="1"/>
    <col min="2" max="2" width="10.25" bestFit="1" customWidth="1"/>
    <col min="11" max="11" width="11.625" customWidth="1"/>
    <col min="12" max="12" width="1" customWidth="1"/>
    <col min="13" max="13" width="7.125" bestFit="1" customWidth="1"/>
    <col min="14" max="14" width="9" bestFit="1" customWidth="1"/>
  </cols>
  <sheetData>
    <row r="1" spans="1:14">
      <c r="A1" s="62" t="s">
        <v>85</v>
      </c>
      <c r="B1" s="63">
        <v>44341</v>
      </c>
      <c r="D1" s="64" t="s">
        <v>83</v>
      </c>
      <c r="E1" s="64"/>
      <c r="G1" s="56" t="s">
        <v>84</v>
      </c>
      <c r="H1" s="55"/>
      <c r="I1" s="55"/>
      <c r="J1" s="55"/>
    </row>
    <row r="2" spans="1:14">
      <c r="A2" s="56"/>
      <c r="B2" s="56" t="str">
        <f>MONTH(B1) - 1 &amp; "月分工賃"</f>
        <v>4月分工賃</v>
      </c>
    </row>
    <row r="3" spans="1:14">
      <c r="B3" s="56" t="str">
        <f>"令和" &amp; YEAR(B1)-2018 &amp; "年" &amp; MONTH(B1) &amp; "月" &amp; DAY(B1) &amp; "日"</f>
        <v>令和3年5月25日</v>
      </c>
    </row>
    <row r="4" spans="1:14" ht="19.5" thickBot="1">
      <c r="A4" s="59" t="s">
        <v>73</v>
      </c>
      <c r="B4" s="59" t="s">
        <v>35</v>
      </c>
      <c r="C4" s="59" t="s">
        <v>61</v>
      </c>
      <c r="D4" s="59" t="s">
        <v>74</v>
      </c>
      <c r="E4" s="59" t="s">
        <v>75</v>
      </c>
      <c r="F4" s="59" t="s">
        <v>79</v>
      </c>
      <c r="G4" s="59" t="s">
        <v>76</v>
      </c>
      <c r="H4" s="59" t="s">
        <v>77</v>
      </c>
      <c r="I4" s="59" t="s">
        <v>80</v>
      </c>
      <c r="J4" s="59" t="s">
        <v>78</v>
      </c>
      <c r="K4" s="59" t="s">
        <v>81</v>
      </c>
      <c r="M4" s="66" t="s">
        <v>86</v>
      </c>
      <c r="N4" s="65" t="s">
        <v>87</v>
      </c>
    </row>
    <row r="5" spans="1:14" ht="19.5" thickTop="1">
      <c r="A5" s="61" t="s">
        <v>88</v>
      </c>
      <c r="B5" s="61">
        <v>18</v>
      </c>
      <c r="C5" s="61">
        <v>800</v>
      </c>
      <c r="D5" s="61">
        <v>4000</v>
      </c>
      <c r="E5" s="61">
        <v>18400</v>
      </c>
      <c r="F5" s="61"/>
      <c r="G5" s="61">
        <v>18400</v>
      </c>
      <c r="H5" s="61">
        <v>0</v>
      </c>
      <c r="I5" s="61">
        <v>0</v>
      </c>
      <c r="J5" s="61"/>
      <c r="K5" s="61">
        <v>18400</v>
      </c>
      <c r="L5" s="61"/>
      <c r="M5" s="61"/>
      <c r="N5" s="61">
        <v>18400</v>
      </c>
    </row>
    <row r="6" spans="1:14">
      <c r="A6" s="61" t="s">
        <v>89</v>
      </c>
      <c r="B6" s="61">
        <v>17</v>
      </c>
      <c r="C6" s="61">
        <v>800</v>
      </c>
      <c r="D6" s="61">
        <v>4000</v>
      </c>
      <c r="E6" s="61">
        <v>21600</v>
      </c>
      <c r="F6" s="61"/>
      <c r="G6" s="61">
        <v>21600</v>
      </c>
      <c r="H6" s="61">
        <v>22</v>
      </c>
      <c r="I6" s="61">
        <v>2200</v>
      </c>
      <c r="J6" s="61"/>
      <c r="K6" s="61">
        <v>19400</v>
      </c>
      <c r="L6" s="61"/>
      <c r="M6" s="61"/>
      <c r="N6" s="61">
        <v>19400</v>
      </c>
    </row>
    <row r="7" spans="1:14">
      <c r="A7" s="61" t="s">
        <v>90</v>
      </c>
      <c r="B7" s="61">
        <v>22</v>
      </c>
      <c r="C7" s="61">
        <v>800</v>
      </c>
      <c r="D7" s="61">
        <v>2500</v>
      </c>
      <c r="E7" s="61">
        <v>12900</v>
      </c>
      <c r="F7" s="61"/>
      <c r="G7" s="61">
        <v>12900</v>
      </c>
      <c r="H7" s="61">
        <v>5</v>
      </c>
      <c r="I7" s="61">
        <v>500</v>
      </c>
      <c r="J7" s="61"/>
      <c r="K7" s="61">
        <v>12400</v>
      </c>
      <c r="L7" s="61"/>
      <c r="M7" s="61"/>
      <c r="N7" s="61">
        <v>12400</v>
      </c>
    </row>
    <row r="8" spans="1:14">
      <c r="A8" s="61" t="s">
        <v>91</v>
      </c>
      <c r="B8" s="61">
        <v>15</v>
      </c>
      <c r="C8" s="61">
        <v>800</v>
      </c>
      <c r="D8" s="61">
        <v>4000</v>
      </c>
      <c r="E8" s="61">
        <v>21600</v>
      </c>
      <c r="F8" s="61"/>
      <c r="G8" s="61">
        <v>21600</v>
      </c>
      <c r="H8" s="61">
        <v>4</v>
      </c>
      <c r="I8" s="61">
        <v>400</v>
      </c>
      <c r="J8" s="61"/>
      <c r="K8" s="61">
        <v>21200</v>
      </c>
      <c r="L8" s="61"/>
      <c r="M8" s="61"/>
      <c r="N8" s="61">
        <v>21200</v>
      </c>
    </row>
    <row r="9" spans="1:14">
      <c r="A9" s="61" t="s">
        <v>92</v>
      </c>
      <c r="B9" s="61">
        <v>1</v>
      </c>
      <c r="C9" s="61">
        <v>800</v>
      </c>
      <c r="D9" s="61">
        <v>4000</v>
      </c>
      <c r="E9" s="61">
        <v>22400</v>
      </c>
      <c r="F9" s="61"/>
      <c r="G9" s="61">
        <v>22400</v>
      </c>
      <c r="H9" s="61">
        <v>23</v>
      </c>
      <c r="I9" s="61">
        <v>2300</v>
      </c>
      <c r="J9" s="61"/>
      <c r="K9" s="61">
        <v>20100</v>
      </c>
      <c r="L9" s="61"/>
      <c r="M9" s="61"/>
      <c r="N9" s="61">
        <v>20100</v>
      </c>
    </row>
    <row r="10" spans="1:14">
      <c r="A10" s="61" t="s">
        <v>93</v>
      </c>
      <c r="B10" s="61">
        <v>14</v>
      </c>
      <c r="C10" s="61">
        <v>800</v>
      </c>
      <c r="D10" s="61">
        <v>4000</v>
      </c>
      <c r="E10" s="61">
        <v>19200</v>
      </c>
      <c r="F10" s="61"/>
      <c r="G10" s="61">
        <v>19200</v>
      </c>
      <c r="H10" s="61">
        <v>7</v>
      </c>
      <c r="I10" s="61">
        <v>700</v>
      </c>
      <c r="J10" s="61"/>
      <c r="K10" s="61">
        <v>18500</v>
      </c>
      <c r="L10" s="61"/>
      <c r="M10" s="61">
        <v>1425</v>
      </c>
      <c r="N10" s="61">
        <v>19925</v>
      </c>
    </row>
    <row r="11" spans="1:14">
      <c r="A11" s="61" t="s">
        <v>94</v>
      </c>
      <c r="B11" s="61">
        <v>21</v>
      </c>
      <c r="C11" s="61">
        <v>800</v>
      </c>
      <c r="D11" s="61">
        <v>4000</v>
      </c>
      <c r="E11" s="61">
        <v>20000</v>
      </c>
      <c r="F11" s="61"/>
      <c r="G11" s="61">
        <v>20000</v>
      </c>
      <c r="H11" s="61">
        <v>19</v>
      </c>
      <c r="I11" s="61">
        <v>1900</v>
      </c>
      <c r="J11" s="61"/>
      <c r="K11" s="61">
        <v>18100</v>
      </c>
      <c r="L11" s="61"/>
      <c r="M11" s="61"/>
      <c r="N11" s="61">
        <v>18100</v>
      </c>
    </row>
    <row r="12" spans="1:14">
      <c r="A12" s="61" t="s">
        <v>95</v>
      </c>
      <c r="B12" s="61">
        <v>23</v>
      </c>
      <c r="C12" s="61">
        <v>800</v>
      </c>
      <c r="D12" s="61">
        <v>4000</v>
      </c>
      <c r="E12" s="61">
        <v>21600</v>
      </c>
      <c r="F12" s="61"/>
      <c r="G12" s="61">
        <v>21600</v>
      </c>
      <c r="H12" s="61">
        <v>0</v>
      </c>
      <c r="I12" s="61">
        <v>0</v>
      </c>
      <c r="J12" s="61"/>
      <c r="K12" s="61">
        <v>21600</v>
      </c>
      <c r="L12" s="61"/>
      <c r="M12" s="61"/>
      <c r="N12" s="61">
        <v>21600</v>
      </c>
    </row>
    <row r="13" spans="1:14">
      <c r="A13" s="61" t="s">
        <v>96</v>
      </c>
      <c r="B13" s="61">
        <v>17</v>
      </c>
      <c r="C13" s="61">
        <v>800</v>
      </c>
      <c r="D13" s="61">
        <v>4000</v>
      </c>
      <c r="E13" s="61">
        <v>22400</v>
      </c>
      <c r="F13" s="61"/>
      <c r="G13" s="61">
        <v>22400</v>
      </c>
      <c r="H13" s="61">
        <v>1</v>
      </c>
      <c r="I13" s="61">
        <v>100</v>
      </c>
      <c r="J13" s="61"/>
      <c r="K13" s="61">
        <v>22300</v>
      </c>
      <c r="L13" s="61"/>
      <c r="M13" s="61"/>
      <c r="N13" s="61">
        <v>22300</v>
      </c>
    </row>
    <row r="14" spans="1:14">
      <c r="A14" s="61" t="s">
        <v>97</v>
      </c>
      <c r="B14" s="61">
        <v>18</v>
      </c>
      <c r="C14" s="61">
        <v>800</v>
      </c>
      <c r="D14" s="61">
        <v>2500</v>
      </c>
      <c r="E14" s="61">
        <v>13700</v>
      </c>
      <c r="F14" s="61"/>
      <c r="G14" s="61">
        <v>13700</v>
      </c>
      <c r="H14" s="61">
        <v>0</v>
      </c>
      <c r="I14" s="61">
        <v>0</v>
      </c>
      <c r="J14" s="61"/>
      <c r="K14" s="61">
        <v>13700</v>
      </c>
      <c r="L14" s="61"/>
      <c r="M14" s="61"/>
      <c r="N14" s="61">
        <v>13700</v>
      </c>
    </row>
    <row r="15" spans="1:14">
      <c r="A15" s="61" t="s">
        <v>98</v>
      </c>
      <c r="B15" s="61">
        <v>1</v>
      </c>
      <c r="C15" s="61">
        <v>800</v>
      </c>
      <c r="D15" s="61">
        <v>0</v>
      </c>
      <c r="E15" s="61">
        <v>800</v>
      </c>
      <c r="F15" s="61"/>
      <c r="G15" s="61">
        <v>800</v>
      </c>
      <c r="H15" s="61">
        <v>1</v>
      </c>
      <c r="I15" s="61">
        <v>100</v>
      </c>
      <c r="J15" s="61"/>
      <c r="K15" s="61">
        <v>700</v>
      </c>
      <c r="L15" s="61"/>
      <c r="M15" s="61"/>
      <c r="N15" s="61">
        <v>700</v>
      </c>
    </row>
    <row r="16" spans="1:14">
      <c r="A16" s="61" t="s">
        <v>99</v>
      </c>
      <c r="B16" s="61">
        <v>5</v>
      </c>
      <c r="C16" s="61">
        <v>800</v>
      </c>
      <c r="D16" s="61">
        <v>4000</v>
      </c>
      <c r="E16" s="61">
        <v>21600</v>
      </c>
      <c r="F16" s="61"/>
      <c r="G16" s="61">
        <v>21600</v>
      </c>
      <c r="H16" s="61">
        <v>0</v>
      </c>
      <c r="I16" s="61">
        <v>0</v>
      </c>
      <c r="J16" s="61"/>
      <c r="K16" s="61">
        <v>21600</v>
      </c>
      <c r="L16" s="61"/>
      <c r="M16" s="61"/>
      <c r="N16" s="61">
        <v>21600</v>
      </c>
    </row>
    <row r="17" spans="1:14">
      <c r="A17" s="61" t="s">
        <v>100</v>
      </c>
      <c r="B17" s="61">
        <v>7</v>
      </c>
      <c r="C17" s="61">
        <v>800</v>
      </c>
      <c r="D17" s="61">
        <v>0</v>
      </c>
      <c r="E17" s="61">
        <v>7200</v>
      </c>
      <c r="F17" s="61"/>
      <c r="G17" s="61">
        <v>7200</v>
      </c>
      <c r="H17" s="61">
        <v>0</v>
      </c>
      <c r="I17" s="61">
        <v>0</v>
      </c>
      <c r="J17" s="61"/>
      <c r="K17" s="61">
        <v>7200</v>
      </c>
      <c r="L17" s="61"/>
      <c r="M17" s="61"/>
      <c r="N17" s="61">
        <v>7200</v>
      </c>
    </row>
    <row r="18" spans="1:14">
      <c r="A18" s="61" t="s">
        <v>101</v>
      </c>
      <c r="B18" s="61">
        <v>21</v>
      </c>
      <c r="C18" s="61">
        <v>800</v>
      </c>
      <c r="D18" s="61">
        <v>4000</v>
      </c>
      <c r="E18" s="61">
        <v>22400</v>
      </c>
      <c r="F18" s="61"/>
      <c r="G18" s="61">
        <v>22400</v>
      </c>
      <c r="H18" s="61">
        <v>23</v>
      </c>
      <c r="I18" s="61">
        <v>2300</v>
      </c>
      <c r="J18" s="61"/>
      <c r="K18" s="61">
        <v>20100</v>
      </c>
      <c r="L18" s="61"/>
      <c r="M18" s="61"/>
      <c r="N18" s="61">
        <v>20100</v>
      </c>
    </row>
    <row r="19" spans="1:14">
      <c r="A19" s="61" t="s">
        <v>102</v>
      </c>
      <c r="B19" s="61">
        <v>21</v>
      </c>
      <c r="C19" s="61">
        <v>800</v>
      </c>
      <c r="D19" s="61">
        <v>4000</v>
      </c>
      <c r="E19" s="61">
        <v>22400</v>
      </c>
      <c r="F19" s="61"/>
      <c r="G19" s="61">
        <v>22400</v>
      </c>
      <c r="H19" s="61">
        <v>1</v>
      </c>
      <c r="I19" s="61">
        <v>100</v>
      </c>
      <c r="J19" s="61"/>
      <c r="K19" s="61">
        <v>22300</v>
      </c>
      <c r="L19" s="61"/>
      <c r="M19" s="61"/>
      <c r="N19" s="61">
        <v>22300</v>
      </c>
    </row>
    <row r="20" spans="1:14">
      <c r="A20" s="61" t="s">
        <v>103</v>
      </c>
      <c r="B20" s="61">
        <v>20</v>
      </c>
      <c r="C20" s="61">
        <v>800</v>
      </c>
      <c r="D20" s="61">
        <v>4000</v>
      </c>
      <c r="E20" s="61">
        <v>22400</v>
      </c>
      <c r="F20" s="61"/>
      <c r="G20" s="61">
        <v>22400</v>
      </c>
      <c r="H20" s="61">
        <v>0</v>
      </c>
      <c r="I20" s="61">
        <v>0</v>
      </c>
      <c r="J20" s="61"/>
      <c r="K20" s="61">
        <v>22400</v>
      </c>
      <c r="L20" s="61"/>
      <c r="M20" s="61"/>
      <c r="N20" s="61">
        <v>22400</v>
      </c>
    </row>
    <row r="21" spans="1:14">
      <c r="A21" s="61" t="s">
        <v>104</v>
      </c>
      <c r="B21" s="61">
        <v>5</v>
      </c>
      <c r="C21" s="61">
        <v>800</v>
      </c>
      <c r="D21" s="61">
        <v>0</v>
      </c>
      <c r="E21" s="61">
        <v>6400</v>
      </c>
      <c r="F21" s="61"/>
      <c r="G21" s="61">
        <v>6400</v>
      </c>
      <c r="H21" s="61">
        <v>0</v>
      </c>
      <c r="I21" s="61">
        <v>0</v>
      </c>
      <c r="J21" s="61"/>
      <c r="K21" s="61">
        <v>6400</v>
      </c>
      <c r="L21" s="61"/>
      <c r="M21" s="61"/>
      <c r="N21" s="61">
        <v>6400</v>
      </c>
    </row>
    <row r="22" spans="1:14">
      <c r="A22" s="61" t="s">
        <v>105</v>
      </c>
      <c r="B22" s="61">
        <v>23</v>
      </c>
      <c r="C22" s="61">
        <v>800</v>
      </c>
      <c r="D22" s="61">
        <v>2500</v>
      </c>
      <c r="E22" s="61">
        <v>16100</v>
      </c>
      <c r="F22" s="61"/>
      <c r="G22" s="61">
        <v>16100</v>
      </c>
      <c r="H22" s="61">
        <v>17</v>
      </c>
      <c r="I22" s="61">
        <v>1700</v>
      </c>
      <c r="J22" s="61"/>
      <c r="K22" s="61">
        <v>14400</v>
      </c>
      <c r="L22" s="61"/>
      <c r="M22" s="61"/>
      <c r="N22" s="61">
        <v>14400</v>
      </c>
    </row>
    <row r="23" spans="1:14">
      <c r="A23" s="61" t="s">
        <v>106</v>
      </c>
      <c r="B23" s="61">
        <v>21</v>
      </c>
      <c r="C23" s="61">
        <v>800</v>
      </c>
      <c r="D23" s="61">
        <v>2500</v>
      </c>
      <c r="E23" s="61">
        <v>13700</v>
      </c>
      <c r="F23" s="61"/>
      <c r="G23" s="61">
        <v>13700</v>
      </c>
      <c r="H23" s="61">
        <v>0</v>
      </c>
      <c r="I23" s="61">
        <v>0</v>
      </c>
      <c r="J23" s="61"/>
      <c r="K23" s="61">
        <v>13700</v>
      </c>
      <c r="L23" s="61"/>
      <c r="M23" s="61"/>
      <c r="N23" s="61">
        <v>13700</v>
      </c>
    </row>
    <row r="24" spans="1:14">
      <c r="A24" s="61" t="s">
        <v>107</v>
      </c>
      <c r="B24" s="61">
        <v>14</v>
      </c>
      <c r="C24" s="61">
        <v>800</v>
      </c>
      <c r="D24" s="61">
        <v>0</v>
      </c>
      <c r="E24" s="61">
        <v>1600</v>
      </c>
      <c r="F24" s="61"/>
      <c r="G24" s="61">
        <v>1600</v>
      </c>
      <c r="H24" s="61">
        <v>0</v>
      </c>
      <c r="I24" s="61">
        <v>0</v>
      </c>
      <c r="J24" s="61"/>
      <c r="K24" s="61">
        <v>1600</v>
      </c>
      <c r="L24" s="61"/>
      <c r="M24" s="61"/>
      <c r="N24" s="61">
        <v>1600</v>
      </c>
    </row>
    <row r="25" spans="1:14">
      <c r="A25" s="61" t="s">
        <v>108</v>
      </c>
      <c r="B25" s="61">
        <v>2</v>
      </c>
      <c r="C25" s="61">
        <v>800</v>
      </c>
      <c r="D25" s="61">
        <v>4000</v>
      </c>
      <c r="E25" s="61">
        <v>20000</v>
      </c>
      <c r="F25" s="61"/>
      <c r="G25" s="61">
        <v>20000</v>
      </c>
      <c r="H25" s="61">
        <v>0</v>
      </c>
      <c r="I25" s="61">
        <v>0</v>
      </c>
      <c r="J25" s="61"/>
      <c r="K25" s="61">
        <v>20000</v>
      </c>
      <c r="L25" s="61"/>
      <c r="M25" s="61"/>
      <c r="N25" s="61">
        <v>20000</v>
      </c>
    </row>
    <row r="26" spans="1:14">
      <c r="A26" s="61" t="s">
        <v>109</v>
      </c>
      <c r="B26" s="61">
        <v>1</v>
      </c>
      <c r="C26" s="61">
        <v>800</v>
      </c>
      <c r="D26" s="61">
        <v>2500</v>
      </c>
      <c r="E26" s="61">
        <v>15300</v>
      </c>
      <c r="F26" s="61"/>
      <c r="G26" s="61">
        <v>15300</v>
      </c>
      <c r="H26" s="61">
        <v>16</v>
      </c>
      <c r="I26" s="61">
        <v>1600</v>
      </c>
      <c r="J26" s="61"/>
      <c r="K26" s="61">
        <v>13700</v>
      </c>
      <c r="L26" s="61"/>
      <c r="M26" s="61"/>
      <c r="N26" s="61">
        <v>13700</v>
      </c>
    </row>
    <row r="27" spans="1:14">
      <c r="A27" s="61" t="s">
        <v>110</v>
      </c>
      <c r="B27" s="61">
        <v>5</v>
      </c>
      <c r="C27" s="61">
        <v>800</v>
      </c>
      <c r="D27" s="61">
        <v>0</v>
      </c>
      <c r="E27" s="61">
        <v>5600</v>
      </c>
      <c r="F27" s="61"/>
      <c r="G27" s="61">
        <v>5600</v>
      </c>
      <c r="H27" s="61">
        <v>0</v>
      </c>
      <c r="I27" s="61">
        <v>0</v>
      </c>
      <c r="J27" s="61"/>
      <c r="K27" s="61">
        <v>5600</v>
      </c>
      <c r="L27" s="61"/>
      <c r="M27" s="61"/>
      <c r="N27" s="61">
        <v>5600</v>
      </c>
    </row>
    <row r="28" spans="1:14">
      <c r="A28" s="61" t="s">
        <v>111</v>
      </c>
      <c r="B28" s="61">
        <v>4</v>
      </c>
      <c r="C28" s="61">
        <v>800</v>
      </c>
      <c r="D28" s="61">
        <v>0</v>
      </c>
      <c r="E28" s="61">
        <v>1600</v>
      </c>
      <c r="F28" s="61"/>
      <c r="G28" s="61">
        <v>1600</v>
      </c>
      <c r="H28" s="61">
        <v>0</v>
      </c>
      <c r="I28" s="61">
        <v>0</v>
      </c>
      <c r="J28" s="61"/>
      <c r="K28" s="61">
        <v>1600</v>
      </c>
      <c r="L28" s="61"/>
      <c r="M28" s="61"/>
      <c r="N28" s="61">
        <v>1600</v>
      </c>
    </row>
    <row r="29" spans="1:14">
      <c r="A29" s="61"/>
      <c r="B29" s="61"/>
      <c r="C29" s="61"/>
      <c r="D29" s="61"/>
      <c r="E29" s="61"/>
      <c r="F29" s="61"/>
      <c r="G29" s="61"/>
      <c r="H29" s="61"/>
      <c r="I29" s="61"/>
      <c r="J29" s="61"/>
      <c r="K29" s="61"/>
      <c r="L29" s="61"/>
      <c r="M29" s="61"/>
      <c r="N29" s="61"/>
    </row>
    <row r="30" spans="1:14">
      <c r="A30" s="61"/>
      <c r="B30" s="61"/>
      <c r="C30" s="61"/>
      <c r="D30" s="61"/>
      <c r="E30" s="61"/>
      <c r="F30" s="61"/>
      <c r="G30" s="61"/>
      <c r="H30" s="61"/>
      <c r="I30" s="61"/>
      <c r="J30" s="61"/>
      <c r="K30" s="61"/>
      <c r="L30" s="61"/>
      <c r="M30" s="61"/>
      <c r="N30" s="61"/>
    </row>
    <row r="31" spans="1:14">
      <c r="A31" s="61"/>
      <c r="B31" s="61"/>
      <c r="C31" s="61"/>
      <c r="D31" s="61"/>
      <c r="E31" s="61"/>
      <c r="F31" s="61"/>
      <c r="G31" s="61"/>
      <c r="H31" s="61"/>
      <c r="I31" s="61"/>
      <c r="J31" s="61"/>
      <c r="K31" s="61"/>
      <c r="L31" s="61"/>
      <c r="M31" s="61"/>
      <c r="N31" s="61"/>
    </row>
    <row r="32" spans="1:14">
      <c r="A32" s="61"/>
      <c r="B32" s="61"/>
      <c r="C32" s="61"/>
      <c r="D32" s="61"/>
      <c r="E32" s="61"/>
      <c r="F32" s="61"/>
      <c r="G32" s="61"/>
      <c r="H32" s="61"/>
      <c r="I32" s="61"/>
      <c r="J32" s="61"/>
      <c r="K32" s="61"/>
      <c r="L32" s="61"/>
      <c r="M32" s="61"/>
      <c r="N32" s="61"/>
    </row>
    <row r="33" spans="1:14">
      <c r="A33" s="61"/>
      <c r="B33" s="61"/>
      <c r="C33" s="61"/>
      <c r="D33" s="61"/>
      <c r="E33" s="61"/>
      <c r="F33" s="61"/>
      <c r="G33" s="61"/>
      <c r="H33" s="61"/>
      <c r="I33" s="61"/>
      <c r="J33" s="61"/>
      <c r="K33" s="61"/>
      <c r="L33" s="61"/>
      <c r="M33" s="61"/>
      <c r="N33" s="61"/>
    </row>
    <row r="34" spans="1:14">
      <c r="A34" s="61"/>
      <c r="B34" s="61"/>
      <c r="C34" s="61"/>
      <c r="D34" s="61"/>
      <c r="E34" s="61"/>
      <c r="F34" s="61"/>
      <c r="G34" s="61"/>
      <c r="H34" s="61"/>
      <c r="I34" s="61"/>
      <c r="J34" s="61"/>
      <c r="K34" s="61"/>
      <c r="L34" s="61"/>
      <c r="M34" s="61"/>
      <c r="N34" s="61"/>
    </row>
    <row r="35" spans="1:14">
      <c r="A35" s="61"/>
      <c r="B35" s="61"/>
      <c r="C35" s="61"/>
      <c r="D35" s="61"/>
      <c r="E35" s="61"/>
      <c r="F35" s="61"/>
      <c r="G35" s="61"/>
      <c r="H35" s="61"/>
      <c r="I35" s="61"/>
      <c r="J35" s="61"/>
      <c r="K35" s="61"/>
      <c r="L35" s="61"/>
      <c r="M35" s="61"/>
      <c r="N35" s="61"/>
    </row>
    <row r="36" spans="1:14">
      <c r="A36" s="61"/>
      <c r="B36" s="61"/>
      <c r="C36" s="61"/>
      <c r="D36" s="61"/>
      <c r="E36" s="61"/>
      <c r="F36" s="61"/>
      <c r="G36" s="61"/>
      <c r="H36" s="61"/>
      <c r="I36" s="61"/>
      <c r="J36" s="61"/>
      <c r="K36" s="61"/>
      <c r="L36" s="61"/>
      <c r="M36" s="61"/>
      <c r="N36" s="61"/>
    </row>
    <row r="37" spans="1:14">
      <c r="A37" s="61"/>
      <c r="B37" s="61"/>
      <c r="C37" s="61"/>
      <c r="D37" s="61"/>
      <c r="E37" s="61"/>
      <c r="F37" s="61"/>
      <c r="G37" s="61"/>
      <c r="H37" s="61"/>
      <c r="I37" s="61"/>
      <c r="J37" s="61"/>
      <c r="K37" s="61"/>
      <c r="L37" s="61"/>
      <c r="M37" s="61"/>
      <c r="N37" s="61"/>
    </row>
    <row r="38" spans="1:14">
      <c r="A38" s="61"/>
      <c r="B38" s="61"/>
      <c r="C38" s="61"/>
      <c r="D38" s="61"/>
      <c r="E38" s="61"/>
      <c r="F38" s="61"/>
      <c r="G38" s="61"/>
      <c r="H38" s="61"/>
      <c r="I38" s="61"/>
      <c r="J38" s="61"/>
      <c r="K38" s="61"/>
      <c r="L38" s="61"/>
      <c r="M38" s="61"/>
      <c r="N38" s="61"/>
    </row>
    <row r="39" spans="1:14">
      <c r="A39" s="61"/>
      <c r="B39" s="61"/>
      <c r="C39" s="61"/>
      <c r="D39" s="61"/>
      <c r="E39" s="61"/>
      <c r="F39" s="61"/>
      <c r="G39" s="61"/>
      <c r="H39" s="61"/>
      <c r="I39" s="61"/>
      <c r="J39" s="61"/>
      <c r="K39" s="61"/>
      <c r="L39" s="61"/>
      <c r="M39" s="61"/>
      <c r="N39" s="61"/>
    </row>
    <row r="40" spans="1:14">
      <c r="A40" s="61"/>
      <c r="B40" s="61"/>
      <c r="C40" s="61"/>
      <c r="D40" s="61"/>
      <c r="E40" s="61"/>
      <c r="F40" s="61"/>
      <c r="G40" s="61"/>
      <c r="H40" s="61"/>
      <c r="I40" s="61"/>
      <c r="J40" s="61"/>
      <c r="K40" s="61"/>
      <c r="L40" s="61"/>
      <c r="M40" s="61"/>
      <c r="N40" s="61"/>
    </row>
    <row r="41" spans="1:14">
      <c r="A41" s="61"/>
      <c r="B41" s="61"/>
      <c r="C41" s="61"/>
      <c r="D41" s="61"/>
      <c r="E41" s="61"/>
      <c r="F41" s="61"/>
      <c r="G41" s="61"/>
      <c r="H41" s="61"/>
      <c r="I41" s="61"/>
      <c r="J41" s="61"/>
      <c r="K41" s="61"/>
      <c r="L41" s="61"/>
      <c r="M41" s="61"/>
      <c r="N41" s="61"/>
    </row>
    <row r="42" spans="1:14">
      <c r="A42" s="61"/>
      <c r="B42" s="61"/>
      <c r="C42" s="61"/>
      <c r="D42" s="61"/>
      <c r="E42" s="61"/>
      <c r="F42" s="61"/>
      <c r="G42" s="61"/>
      <c r="H42" s="61"/>
      <c r="I42" s="61"/>
      <c r="J42" s="61"/>
      <c r="K42" s="61"/>
      <c r="L42" s="61"/>
      <c r="M42" s="61"/>
      <c r="N42" s="61"/>
    </row>
    <row r="43" spans="1:14">
      <c r="A43" s="61"/>
      <c r="B43" s="61"/>
      <c r="C43" s="61"/>
      <c r="D43" s="61"/>
      <c r="E43" s="61"/>
      <c r="F43" s="61"/>
      <c r="G43" s="61"/>
      <c r="H43" s="61"/>
      <c r="I43" s="61"/>
      <c r="J43" s="61"/>
      <c r="K43" s="61"/>
      <c r="L43" s="61"/>
      <c r="M43" s="61"/>
      <c r="N43" s="61"/>
    </row>
    <row r="44" spans="1:14">
      <c r="A44" s="61"/>
      <c r="B44" s="61"/>
      <c r="C44" s="61"/>
      <c r="D44" s="61"/>
      <c r="E44" s="61"/>
      <c r="F44" s="61"/>
      <c r="G44" s="61"/>
      <c r="H44" s="61"/>
      <c r="I44" s="61"/>
      <c r="J44" s="61"/>
      <c r="K44" s="61"/>
      <c r="L44" s="61"/>
      <c r="M44" s="61"/>
      <c r="N44" s="61"/>
    </row>
    <row r="45" spans="1:14">
      <c r="A45" s="61"/>
      <c r="B45" s="61"/>
      <c r="C45" s="61"/>
      <c r="D45" s="61"/>
      <c r="E45" s="61"/>
      <c r="F45" s="61"/>
      <c r="G45" s="61"/>
      <c r="H45" s="61"/>
      <c r="I45" s="61"/>
      <c r="J45" s="61"/>
      <c r="K45" s="61"/>
      <c r="L45" s="61"/>
      <c r="M45" s="61"/>
      <c r="N45" s="61"/>
    </row>
    <row r="46" spans="1:14">
      <c r="A46" s="61"/>
      <c r="B46" s="61"/>
      <c r="C46" s="61"/>
      <c r="D46" s="61"/>
      <c r="E46" s="61"/>
      <c r="F46" s="61"/>
      <c r="G46" s="61"/>
      <c r="H46" s="61"/>
      <c r="I46" s="61"/>
      <c r="J46" s="61"/>
      <c r="K46" s="61"/>
      <c r="L46" s="61"/>
      <c r="M46" s="61"/>
      <c r="N46" s="61"/>
    </row>
    <row r="47" spans="1:14">
      <c r="A47" s="61"/>
      <c r="B47" s="61"/>
      <c r="C47" s="61"/>
      <c r="D47" s="61"/>
      <c r="E47" s="61"/>
      <c r="F47" s="61"/>
      <c r="G47" s="61"/>
      <c r="H47" s="61"/>
      <c r="I47" s="61"/>
      <c r="J47" s="61"/>
      <c r="K47" s="61"/>
      <c r="L47" s="61"/>
      <c r="M47" s="61"/>
      <c r="N47" s="61"/>
    </row>
    <row r="48" spans="1:14">
      <c r="A48" s="61"/>
      <c r="B48" s="61"/>
      <c r="C48" s="61"/>
      <c r="D48" s="61"/>
      <c r="E48" s="61"/>
      <c r="F48" s="61"/>
      <c r="G48" s="61"/>
      <c r="H48" s="61"/>
      <c r="I48" s="61"/>
      <c r="J48" s="61"/>
      <c r="K48" s="61"/>
      <c r="L48" s="61"/>
      <c r="M48" s="61"/>
      <c r="N48" s="61"/>
    </row>
    <row r="49" spans="1:14">
      <c r="A49" s="61"/>
      <c r="B49" s="61"/>
      <c r="C49" s="61"/>
      <c r="D49" s="61"/>
      <c r="E49" s="61"/>
      <c r="F49" s="61"/>
      <c r="G49" s="61"/>
      <c r="H49" s="61"/>
      <c r="I49" s="61"/>
      <c r="J49" s="61"/>
      <c r="K49" s="61"/>
      <c r="L49" s="61"/>
      <c r="M49" s="61"/>
      <c r="N49" s="61"/>
    </row>
    <row r="50" spans="1:14">
      <c r="A50" s="61"/>
      <c r="B50" s="61"/>
      <c r="C50" s="61"/>
      <c r="D50" s="61"/>
      <c r="E50" s="61"/>
      <c r="F50" s="61"/>
      <c r="G50" s="61"/>
      <c r="H50" s="61"/>
      <c r="I50" s="61"/>
      <c r="J50" s="61"/>
      <c r="K50" s="61"/>
      <c r="L50" s="61"/>
      <c r="M50" s="61"/>
      <c r="N50" s="61"/>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8</xdr:col>
                    <xdr:colOff>0</xdr:colOff>
                    <xdr:row>0</xdr:row>
                    <xdr:rowOff>0</xdr:rowOff>
                  </from>
                  <to>
                    <xdr:col>9</xdr:col>
                    <xdr:colOff>247650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AI12" sqref="AI12"/>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67" t="s">
        <v>0</v>
      </c>
      <c r="D1" s="67"/>
      <c r="E1" s="67"/>
      <c r="F1" s="67"/>
      <c r="G1" s="67"/>
      <c r="H1" s="67"/>
      <c r="I1" s="67"/>
      <c r="J1" s="67"/>
      <c r="K1" s="67"/>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4</v>
      </c>
      <c r="I3" s="15" t="s">
        <v>3</v>
      </c>
      <c r="J3" s="2"/>
      <c r="K3" s="19"/>
      <c r="L3" s="18"/>
      <c r="M3" s="19"/>
      <c r="N3" s="18"/>
      <c r="O3" s="18"/>
      <c r="P3" s="17"/>
      <c r="Q3" s="17"/>
    </row>
    <row r="4" spans="1:17" ht="20.100000000000001" customHeight="1">
      <c r="A4" s="2"/>
      <c r="B4" s="2"/>
      <c r="C4" s="68" t="s">
        <v>4</v>
      </c>
      <c r="D4" s="68"/>
      <c r="E4" s="16" t="s">
        <v>5</v>
      </c>
      <c r="F4" s="16">
        <v>3</v>
      </c>
      <c r="G4" s="15" t="s">
        <v>6</v>
      </c>
      <c r="H4" s="16">
        <v>5</v>
      </c>
      <c r="I4" s="15" t="s">
        <v>7</v>
      </c>
      <c r="J4" s="16">
        <v>25</v>
      </c>
      <c r="K4" s="15" t="s">
        <v>8</v>
      </c>
      <c r="L4" s="2"/>
      <c r="M4" s="15"/>
      <c r="N4" s="2"/>
      <c r="O4" s="15"/>
      <c r="P4" s="2"/>
      <c r="Q4" s="2"/>
    </row>
    <row r="5" spans="1:17" ht="30" customHeight="1">
      <c r="A5" s="2"/>
      <c r="B5" s="2"/>
      <c r="C5" s="68" t="s">
        <v>9</v>
      </c>
      <c r="D5" s="68"/>
      <c r="E5" s="69" t="str" cm="1">
        <f t="array" aca="1" ref="E5" ca="1">RIGHT(CELL("filename",E5),LEN(CELL("filename",E5))-FIND("]",CELL("filename",E5)))</f>
        <v>Detail</v>
      </c>
      <c r="F5" s="69"/>
      <c r="G5" s="69"/>
      <c r="H5" s="69"/>
      <c r="I5" s="69"/>
      <c r="J5" s="69"/>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70" t="s">
        <v>11</v>
      </c>
      <c r="D7" s="73" t="s">
        <v>12</v>
      </c>
      <c r="E7" s="73"/>
      <c r="F7" s="73"/>
      <c r="G7" s="73"/>
      <c r="H7" s="73"/>
      <c r="I7" s="73"/>
      <c r="J7" s="73"/>
      <c r="K7" s="74"/>
      <c r="L7" s="2"/>
      <c r="M7" s="2"/>
      <c r="N7" s="2"/>
      <c r="O7" s="2"/>
      <c r="P7" s="2"/>
      <c r="Q7" s="2"/>
    </row>
    <row r="8" spans="1:17" ht="24.75" customHeight="1">
      <c r="A8" s="2"/>
      <c r="B8" s="2"/>
      <c r="C8" s="71"/>
      <c r="D8" s="82" t="s">
        <v>13</v>
      </c>
      <c r="E8" s="83"/>
      <c r="F8" s="57"/>
      <c r="G8" s="14" t="s">
        <v>14</v>
      </c>
      <c r="H8" s="110">
        <f>800*F8</f>
        <v>0</v>
      </c>
      <c r="I8" s="111"/>
      <c r="J8" s="112"/>
      <c r="K8" s="13" t="s">
        <v>15</v>
      </c>
      <c r="L8" s="2"/>
      <c r="M8" s="2"/>
      <c r="N8" s="2"/>
      <c r="O8" s="2"/>
      <c r="P8" s="2"/>
      <c r="Q8" s="2"/>
    </row>
    <row r="9" spans="1:17" ht="24.75" customHeight="1">
      <c r="A9" s="2"/>
      <c r="B9" s="2"/>
      <c r="C9" s="71"/>
      <c r="D9" s="76" t="s">
        <v>16</v>
      </c>
      <c r="E9" s="76"/>
      <c r="F9" s="77"/>
      <c r="G9" s="78">
        <f>IF(F8&gt;=18,4000,IF(F8&gt;=12,2500,0))</f>
        <v>0</v>
      </c>
      <c r="H9" s="79"/>
      <c r="I9" s="79"/>
      <c r="J9" s="79"/>
      <c r="K9" s="13" t="s">
        <v>15</v>
      </c>
      <c r="L9" s="2"/>
      <c r="M9" s="2"/>
      <c r="N9" s="2"/>
      <c r="O9" s="2"/>
      <c r="P9" s="2"/>
      <c r="Q9" s="2"/>
    </row>
    <row r="10" spans="1:17" ht="24.75" customHeight="1">
      <c r="A10" s="2"/>
      <c r="B10" s="2"/>
      <c r="C10" s="71"/>
      <c r="D10" s="76" t="s">
        <v>17</v>
      </c>
      <c r="E10" s="76"/>
      <c r="F10" s="80"/>
      <c r="G10" s="75">
        <v>0</v>
      </c>
      <c r="H10" s="75"/>
      <c r="I10" s="75"/>
      <c r="J10" s="75"/>
      <c r="K10" s="13" t="s">
        <v>15</v>
      </c>
      <c r="L10" s="2"/>
      <c r="M10" s="2"/>
      <c r="N10" s="2"/>
      <c r="O10" s="2"/>
      <c r="P10" s="2"/>
      <c r="Q10" s="2"/>
    </row>
    <row r="11" spans="1:17" ht="24.75" customHeight="1">
      <c r="A11" s="2"/>
      <c r="B11" s="2"/>
      <c r="C11" s="71"/>
      <c r="D11" s="81"/>
      <c r="E11" s="81"/>
      <c r="F11" s="81"/>
      <c r="G11" s="75"/>
      <c r="H11" s="75"/>
      <c r="I11" s="75"/>
      <c r="J11" s="75"/>
      <c r="K11" s="12"/>
      <c r="L11" s="2"/>
      <c r="M11" s="2"/>
      <c r="N11" s="2"/>
      <c r="O11" s="2"/>
      <c r="P11" s="2"/>
      <c r="Q11" s="2"/>
    </row>
    <row r="12" spans="1:17" ht="24.75" customHeight="1">
      <c r="A12" s="2"/>
      <c r="B12" s="2"/>
      <c r="C12" s="71"/>
      <c r="D12" s="81"/>
      <c r="E12" s="81"/>
      <c r="F12" s="81"/>
      <c r="G12" s="75"/>
      <c r="H12" s="75"/>
      <c r="I12" s="75"/>
      <c r="J12" s="75"/>
      <c r="K12" s="12"/>
      <c r="L12" s="2"/>
      <c r="M12" s="2"/>
      <c r="N12" s="2"/>
      <c r="O12" s="2"/>
      <c r="P12" s="2"/>
      <c r="Q12" s="2"/>
    </row>
    <row r="13" spans="1:17" ht="24.75" customHeight="1">
      <c r="A13" s="2"/>
      <c r="B13" s="2"/>
      <c r="C13" s="71"/>
      <c r="D13" s="81"/>
      <c r="E13" s="81"/>
      <c r="F13" s="81"/>
      <c r="G13" s="75"/>
      <c r="H13" s="75"/>
      <c r="I13" s="75"/>
      <c r="J13" s="75"/>
      <c r="K13" s="12"/>
      <c r="L13" s="2"/>
      <c r="M13" s="2"/>
      <c r="N13" s="2"/>
      <c r="O13" s="2"/>
      <c r="P13" s="2"/>
      <c r="Q13" s="2"/>
    </row>
    <row r="14" spans="1:17" ht="24.75" customHeight="1">
      <c r="A14" s="2"/>
      <c r="B14" s="2"/>
      <c r="C14" s="71"/>
      <c r="D14" s="81"/>
      <c r="E14" s="81"/>
      <c r="F14" s="84"/>
      <c r="G14" s="75"/>
      <c r="H14" s="75"/>
      <c r="I14" s="75"/>
      <c r="J14" s="75"/>
      <c r="K14" s="12"/>
      <c r="L14" s="2"/>
      <c r="M14" s="2"/>
      <c r="N14" s="2"/>
      <c r="O14" s="2"/>
      <c r="P14" s="2"/>
      <c r="Q14" s="2"/>
    </row>
    <row r="15" spans="1:17" ht="24.75" customHeight="1" thickBot="1">
      <c r="A15" s="2"/>
      <c r="B15" s="2"/>
      <c r="C15" s="71"/>
      <c r="D15" s="85"/>
      <c r="E15" s="85"/>
      <c r="F15" s="86"/>
      <c r="G15" s="87"/>
      <c r="H15" s="88"/>
      <c r="I15" s="88"/>
      <c r="J15" s="89"/>
      <c r="K15" s="7"/>
      <c r="L15" s="2"/>
      <c r="M15" s="2"/>
      <c r="N15" s="2"/>
      <c r="O15" s="2"/>
      <c r="P15" s="2"/>
      <c r="Q15" s="2"/>
    </row>
    <row r="16" spans="1:17" ht="24.75" customHeight="1" thickTop="1" thickBot="1">
      <c r="A16" s="2"/>
      <c r="B16" s="2"/>
      <c r="C16" s="72"/>
      <c r="D16" s="96" t="s">
        <v>18</v>
      </c>
      <c r="E16" s="96"/>
      <c r="F16" s="97"/>
      <c r="G16" s="113">
        <f>SUM(G8:J15)</f>
        <v>0</v>
      </c>
      <c r="H16" s="114"/>
      <c r="I16" s="114"/>
      <c r="J16" s="115"/>
      <c r="K16" s="6" t="s">
        <v>15</v>
      </c>
      <c r="L16" s="2"/>
      <c r="M16" s="2"/>
      <c r="N16" s="2"/>
      <c r="O16" s="2"/>
      <c r="P16" s="2"/>
      <c r="Q16" s="2"/>
    </row>
    <row r="17" spans="1:17" ht="24.75" customHeight="1">
      <c r="A17" s="2"/>
      <c r="B17" s="2"/>
      <c r="C17" s="91" t="s">
        <v>19</v>
      </c>
      <c r="D17" s="11" t="s">
        <v>20</v>
      </c>
      <c r="E17" s="58"/>
      <c r="F17" s="10" t="s">
        <v>21</v>
      </c>
      <c r="G17" s="93">
        <f>E17*100</f>
        <v>0</v>
      </c>
      <c r="H17" s="94"/>
      <c r="I17" s="94"/>
      <c r="J17" s="95"/>
      <c r="K17" s="9" t="s">
        <v>15</v>
      </c>
      <c r="L17" s="2"/>
      <c r="M17" s="2"/>
      <c r="N17" s="2"/>
      <c r="O17" s="2"/>
      <c r="P17" s="2"/>
      <c r="Q17" s="2"/>
    </row>
    <row r="18" spans="1:17" ht="24.75" customHeight="1">
      <c r="A18" s="2"/>
      <c r="B18" s="2"/>
      <c r="C18" s="71"/>
      <c r="D18" s="81"/>
      <c r="E18" s="81"/>
      <c r="F18" s="84"/>
      <c r="G18" s="104"/>
      <c r="H18" s="105"/>
      <c r="I18" s="105"/>
      <c r="J18" s="106"/>
      <c r="K18" s="8"/>
      <c r="L18" s="2"/>
      <c r="M18" s="2"/>
      <c r="N18" s="2"/>
      <c r="O18" s="2"/>
      <c r="P18" s="2"/>
      <c r="Q18" s="2"/>
    </row>
    <row r="19" spans="1:17" ht="24.75" customHeight="1">
      <c r="A19" s="2"/>
      <c r="B19" s="2"/>
      <c r="C19" s="71"/>
      <c r="D19" s="81"/>
      <c r="E19" s="81"/>
      <c r="F19" s="84"/>
      <c r="G19" s="104"/>
      <c r="H19" s="105"/>
      <c r="I19" s="105"/>
      <c r="J19" s="106"/>
      <c r="K19" s="8"/>
      <c r="L19" s="2"/>
      <c r="M19" s="2"/>
      <c r="N19" s="2"/>
      <c r="O19" s="2"/>
      <c r="P19" s="2"/>
      <c r="Q19" s="2"/>
    </row>
    <row r="20" spans="1:17" ht="24.75" customHeight="1" thickBot="1">
      <c r="A20" s="2"/>
      <c r="B20" s="2"/>
      <c r="C20" s="71"/>
      <c r="D20" s="85"/>
      <c r="E20" s="85"/>
      <c r="F20" s="90"/>
      <c r="G20" s="107"/>
      <c r="H20" s="108"/>
      <c r="I20" s="108"/>
      <c r="J20" s="109"/>
      <c r="K20" s="7"/>
      <c r="L20" s="2"/>
      <c r="M20" s="2"/>
      <c r="N20" s="2"/>
      <c r="O20" s="2"/>
      <c r="P20" s="2"/>
      <c r="Q20" s="2"/>
    </row>
    <row r="21" spans="1:17" ht="24.75" customHeight="1" thickTop="1" thickBot="1">
      <c r="A21" s="2"/>
      <c r="B21" s="2"/>
      <c r="C21" s="92"/>
      <c r="D21" s="96" t="s">
        <v>22</v>
      </c>
      <c r="E21" s="96"/>
      <c r="F21" s="97"/>
      <c r="G21" s="102">
        <f>SUM(G17:J20)</f>
        <v>0</v>
      </c>
      <c r="H21" s="103"/>
      <c r="I21" s="103"/>
      <c r="J21" s="103"/>
      <c r="K21" s="6" t="s">
        <v>23</v>
      </c>
      <c r="L21" s="2"/>
      <c r="M21" s="2"/>
      <c r="N21" s="2"/>
      <c r="O21" s="2"/>
      <c r="P21" s="2"/>
      <c r="Q21" s="2"/>
    </row>
    <row r="22" spans="1:17" ht="24.75" customHeight="1" thickBot="1">
      <c r="A22" s="2"/>
      <c r="B22" s="2"/>
      <c r="C22" s="98" t="s">
        <v>24</v>
      </c>
      <c r="D22" s="73"/>
      <c r="E22" s="73"/>
      <c r="F22" s="73"/>
      <c r="G22" s="99">
        <f>G16-G21</f>
        <v>0</v>
      </c>
      <c r="H22" s="100"/>
      <c r="I22" s="100"/>
      <c r="J22" s="101"/>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68" t="s">
        <v>25</v>
      </c>
      <c r="D25" s="68"/>
      <c r="E25" s="68"/>
      <c r="F25" s="68"/>
      <c r="G25" s="68"/>
      <c r="H25" s="68"/>
      <c r="I25" s="4"/>
      <c r="J25" s="4"/>
      <c r="K25" s="4"/>
      <c r="L25" s="4"/>
      <c r="M25" s="4"/>
      <c r="N25" s="4"/>
      <c r="O25" s="4"/>
      <c r="P25" s="4"/>
      <c r="Q25" s="2"/>
    </row>
    <row r="26" spans="1:17" ht="30" customHeight="1">
      <c r="A26" s="2"/>
      <c r="B26" s="2"/>
      <c r="C26" s="68" t="s">
        <v>26</v>
      </c>
      <c r="D26" s="68"/>
      <c r="E26" s="68"/>
      <c r="F26" s="68"/>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G20:J20"/>
    <mergeCell ref="H8:J8"/>
    <mergeCell ref="D11:F11"/>
    <mergeCell ref="D16:F16"/>
    <mergeCell ref="G16:J16"/>
    <mergeCell ref="G18:J1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topLeftCell="A13" workbookViewId="0">
      <selection activeCell="T22" sqref="T22:Y22"/>
    </sheetView>
  </sheetViews>
  <sheetFormatPr defaultColWidth="2.625" defaultRowHeight="18" customHeight="1"/>
  <cols>
    <col min="1" max="24" width="2.625" style="20"/>
    <col min="25" max="25" width="1.125" style="20" customWidth="1"/>
    <col min="26" max="26" width="5.5" style="20" customWidth="1"/>
    <col min="27" max="27" width="2.625" style="20"/>
    <col min="28" max="28" width="1.625" style="20" customWidth="1"/>
    <col min="29" max="29" width="3.5" style="20" bestFit="1" customWidth="1"/>
    <col min="30" max="30" width="2.625" style="20"/>
    <col min="31" max="31" width="0.875" style="20" customWidth="1"/>
    <col min="32" max="32" width="3.5" style="20" customWidth="1"/>
    <col min="33" max="16384" width="2.625" style="20"/>
  </cols>
  <sheetData>
    <row r="1" spans="1:41" ht="45" customHeight="1">
      <c r="A1" s="156" t="s">
        <v>42</v>
      </c>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c r="AF1" s="156"/>
      <c r="AG1" s="156"/>
    </row>
    <row r="2" spans="1:41" ht="18" customHeight="1">
      <c r="A2" s="3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row>
    <row r="3" spans="1:41" ht="18" customHeight="1">
      <c r="S3" s="139" t="s">
        <v>41</v>
      </c>
      <c r="T3" s="139"/>
      <c r="U3" s="139"/>
      <c r="V3" s="139"/>
      <c r="Z3" s="60">
        <v>2021</v>
      </c>
      <c r="AA3" s="29" t="s">
        <v>6</v>
      </c>
      <c r="AB3" s="29"/>
      <c r="AC3" s="30"/>
      <c r="AD3" s="29" t="s">
        <v>7</v>
      </c>
      <c r="AE3" s="29"/>
      <c r="AF3" s="30"/>
      <c r="AG3" s="29" t="s">
        <v>8</v>
      </c>
    </row>
    <row r="5" spans="1:41" ht="18" customHeight="1">
      <c r="A5" s="28"/>
      <c r="B5" s="28"/>
      <c r="C5" s="28"/>
      <c r="D5" s="28"/>
      <c r="E5" s="28"/>
      <c r="F5" s="28"/>
      <c r="G5" s="28"/>
      <c r="H5" s="28"/>
      <c r="I5" s="28"/>
      <c r="J5" s="28"/>
      <c r="K5" s="28"/>
      <c r="L5" s="28"/>
    </row>
    <row r="6" spans="1:41" ht="18" customHeight="1">
      <c r="A6" s="27"/>
      <c r="B6" s="27"/>
      <c r="C6" s="27"/>
      <c r="D6" s="27"/>
      <c r="E6" s="27"/>
      <c r="F6" s="27"/>
      <c r="G6" s="27"/>
      <c r="H6" s="27"/>
      <c r="I6" s="27"/>
      <c r="J6" s="27"/>
      <c r="K6" s="27"/>
      <c r="L6" s="27"/>
      <c r="U6" s="26"/>
      <c r="V6" s="26"/>
      <c r="W6" s="26"/>
      <c r="X6" s="26"/>
      <c r="Y6" s="26"/>
      <c r="Z6" s="26"/>
      <c r="AA6" s="26"/>
      <c r="AB6" s="26"/>
      <c r="AC6" s="26"/>
      <c r="AD6" s="26"/>
      <c r="AE6" s="26"/>
      <c r="AF6" s="26"/>
      <c r="AG6" s="26"/>
    </row>
    <row r="7" spans="1:41" ht="18" customHeight="1">
      <c r="A7" s="27"/>
      <c r="B7" s="27"/>
      <c r="C7" s="27"/>
      <c r="D7" s="27"/>
      <c r="E7" s="27"/>
      <c r="F7" s="27"/>
      <c r="G7" s="27"/>
      <c r="H7" s="27"/>
      <c r="I7" s="27"/>
      <c r="J7" s="27"/>
      <c r="K7" s="27"/>
      <c r="L7" s="27"/>
      <c r="U7" s="26"/>
      <c r="V7" s="26"/>
      <c r="W7" s="26"/>
      <c r="X7" s="26"/>
      <c r="Y7" s="26"/>
      <c r="Z7" s="26"/>
      <c r="AA7" s="26"/>
      <c r="AB7" s="26"/>
      <c r="AC7" s="26"/>
      <c r="AD7" s="26"/>
      <c r="AE7" s="26"/>
      <c r="AF7" s="26"/>
      <c r="AG7" s="26"/>
    </row>
    <row r="8" spans="1:41" ht="18" customHeight="1">
      <c r="A8" s="157" t="s">
        <v>40</v>
      </c>
      <c r="B8" s="157"/>
      <c r="C8" s="157"/>
      <c r="D8" s="157"/>
      <c r="E8" s="157"/>
      <c r="F8" s="157"/>
      <c r="G8" s="157"/>
      <c r="H8" s="157"/>
      <c r="I8" s="157"/>
      <c r="J8" s="157"/>
      <c r="K8" s="157"/>
      <c r="L8" s="157"/>
      <c r="M8" s="158" t="s">
        <v>39</v>
      </c>
      <c r="N8" s="158"/>
      <c r="U8" s="159" t="str" cm="1">
        <f t="array" aca="1" ref="U8" ca="1">RIGHT(CELL("filename",U8),LEN(CELL("filename",U8))-FIND("]",CELL("filename",U8)))</f>
        <v>Receipt</v>
      </c>
      <c r="V8" s="159"/>
      <c r="W8" s="159"/>
      <c r="X8" s="159"/>
      <c r="Y8" s="159"/>
      <c r="Z8" s="159"/>
      <c r="AA8" s="159"/>
      <c r="AB8" s="159"/>
      <c r="AC8" s="159"/>
      <c r="AD8" s="159"/>
      <c r="AE8" s="159"/>
      <c r="AF8" s="159"/>
      <c r="AG8" s="159"/>
    </row>
    <row r="9" spans="1:41" ht="18" customHeight="1">
      <c r="A9" s="157"/>
      <c r="B9" s="157"/>
      <c r="C9" s="157"/>
      <c r="D9" s="157"/>
      <c r="E9" s="157"/>
      <c r="F9" s="157"/>
      <c r="G9" s="157"/>
      <c r="H9" s="157"/>
      <c r="I9" s="157"/>
      <c r="J9" s="157"/>
      <c r="K9" s="157"/>
      <c r="L9" s="157"/>
      <c r="M9" s="158"/>
      <c r="N9" s="158"/>
      <c r="U9" s="159"/>
      <c r="V9" s="159"/>
      <c r="W9" s="159"/>
      <c r="X9" s="159"/>
      <c r="Y9" s="159"/>
      <c r="Z9" s="159"/>
      <c r="AA9" s="159"/>
      <c r="AB9" s="159"/>
      <c r="AC9" s="159"/>
      <c r="AD9" s="159"/>
      <c r="AE9" s="159"/>
      <c r="AF9" s="159"/>
      <c r="AG9" s="159"/>
    </row>
    <row r="13" spans="1:41" ht="18" customHeight="1">
      <c r="B13" s="139" t="s">
        <v>38</v>
      </c>
      <c r="C13" s="139"/>
      <c r="D13" s="139"/>
      <c r="E13" s="139"/>
      <c r="F13" s="139"/>
      <c r="G13" s="139"/>
      <c r="H13" s="139"/>
      <c r="I13" s="139"/>
      <c r="J13" s="139"/>
      <c r="K13" s="139"/>
      <c r="L13" s="139"/>
      <c r="Z13" s="147" t="s">
        <v>37</v>
      </c>
      <c r="AA13" s="147"/>
      <c r="AB13" s="147"/>
      <c r="AC13" s="147"/>
      <c r="AD13" s="147"/>
      <c r="AL13" s="25"/>
      <c r="AM13" s="25"/>
      <c r="AN13" s="25"/>
      <c r="AO13" s="25"/>
    </row>
    <row r="14" spans="1:41" ht="18" customHeight="1">
      <c r="Z14" s="148"/>
      <c r="AA14" s="148"/>
      <c r="AB14" s="148"/>
      <c r="AC14" s="148"/>
      <c r="AD14" s="148"/>
      <c r="AL14" s="24"/>
      <c r="AM14" s="24"/>
      <c r="AN14" s="24"/>
      <c r="AO14" s="24"/>
    </row>
    <row r="15" spans="1:41" ht="18" customHeight="1">
      <c r="Z15" s="148"/>
      <c r="AA15" s="148"/>
      <c r="AB15" s="148"/>
      <c r="AC15" s="148"/>
      <c r="AD15" s="148"/>
      <c r="AL15" s="24"/>
      <c r="AM15" s="24"/>
      <c r="AN15" s="24"/>
      <c r="AO15" s="24"/>
    </row>
    <row r="16" spans="1:41" ht="18" customHeight="1">
      <c r="Z16" s="148"/>
      <c r="AA16" s="148"/>
      <c r="AB16" s="148"/>
      <c r="AC16" s="148"/>
      <c r="AD16" s="148"/>
      <c r="AL16" s="24"/>
      <c r="AM16" s="24"/>
      <c r="AN16" s="24"/>
      <c r="AO16" s="24"/>
    </row>
    <row r="17" spans="1:33" ht="18" customHeight="1">
      <c r="Z17" s="148"/>
      <c r="AA17" s="148"/>
      <c r="AB17" s="148"/>
      <c r="AC17" s="148"/>
      <c r="AD17" s="148"/>
    </row>
    <row r="19" spans="1:33" ht="24.75" customHeight="1">
      <c r="A19" s="149" t="s">
        <v>36</v>
      </c>
      <c r="B19" s="149"/>
      <c r="C19" s="149"/>
      <c r="D19" s="149"/>
      <c r="E19" s="149"/>
      <c r="F19" s="149"/>
      <c r="G19" s="149"/>
      <c r="H19" s="149"/>
      <c r="I19" s="149"/>
      <c r="J19" s="149"/>
      <c r="K19" s="149" t="s">
        <v>35</v>
      </c>
      <c r="L19" s="149"/>
      <c r="M19" s="149"/>
      <c r="N19" s="149"/>
      <c r="O19" s="149" t="s">
        <v>34</v>
      </c>
      <c r="P19" s="149"/>
      <c r="Q19" s="149"/>
      <c r="R19" s="149"/>
      <c r="S19" s="149"/>
      <c r="T19" s="149" t="s">
        <v>33</v>
      </c>
      <c r="U19" s="149"/>
      <c r="V19" s="149"/>
      <c r="W19" s="149"/>
      <c r="X19" s="149"/>
      <c r="Y19" s="149"/>
      <c r="Z19" s="149" t="s">
        <v>32</v>
      </c>
      <c r="AA19" s="149"/>
      <c r="AB19" s="149"/>
      <c r="AC19" s="149"/>
      <c r="AD19" s="149"/>
      <c r="AE19" s="149"/>
      <c r="AF19" s="149"/>
      <c r="AG19" s="149"/>
    </row>
    <row r="20" spans="1:33" ht="24.75" customHeight="1">
      <c r="A20" s="119" t="s">
        <v>31</v>
      </c>
      <c r="B20" s="120"/>
      <c r="C20" s="120"/>
      <c r="D20" s="120"/>
      <c r="E20" s="120"/>
      <c r="F20" s="120"/>
      <c r="G20" s="120"/>
      <c r="H20" s="120"/>
      <c r="I20" s="120"/>
      <c r="J20" s="121"/>
      <c r="K20" s="150"/>
      <c r="L20" s="150"/>
      <c r="M20" s="150"/>
      <c r="N20" s="150"/>
      <c r="O20" s="151">
        <v>800</v>
      </c>
      <c r="P20" s="151"/>
      <c r="Q20" s="151"/>
      <c r="R20" s="151"/>
      <c r="S20" s="151"/>
      <c r="T20" s="152">
        <f>O20*K20</f>
        <v>0</v>
      </c>
      <c r="U20" s="152"/>
      <c r="V20" s="152"/>
      <c r="W20" s="152"/>
      <c r="X20" s="152"/>
      <c r="Y20" s="152"/>
      <c r="Z20" s="122"/>
      <c r="AA20" s="123"/>
      <c r="AB20" s="123"/>
      <c r="AC20" s="123"/>
      <c r="AD20" s="123"/>
      <c r="AE20" s="123"/>
      <c r="AF20" s="123"/>
      <c r="AG20" s="124"/>
    </row>
    <row r="21" spans="1:33" ht="24.75" customHeight="1">
      <c r="A21" s="116" t="s">
        <v>30</v>
      </c>
      <c r="B21" s="117"/>
      <c r="C21" s="117"/>
      <c r="D21" s="117"/>
      <c r="E21" s="117"/>
      <c r="F21" s="117"/>
      <c r="G21" s="117"/>
      <c r="H21" s="117"/>
      <c r="I21" s="117"/>
      <c r="J21" s="118"/>
      <c r="K21" s="153"/>
      <c r="L21" s="153"/>
      <c r="M21" s="153"/>
      <c r="N21" s="153"/>
      <c r="O21" s="154"/>
      <c r="P21" s="154"/>
      <c r="Q21" s="154"/>
      <c r="R21" s="154"/>
      <c r="S21" s="154"/>
      <c r="T21" s="155">
        <f>IF(K20&gt;=18,4000,IF(K20&gt;=12,2500,0))</f>
        <v>0</v>
      </c>
      <c r="U21" s="155"/>
      <c r="V21" s="155"/>
      <c r="W21" s="155"/>
      <c r="X21" s="155"/>
      <c r="Y21" s="155"/>
      <c r="Z21" s="23"/>
      <c r="AA21" s="129"/>
      <c r="AB21" s="129"/>
      <c r="AC21" s="129"/>
      <c r="AD21" s="129"/>
      <c r="AE21" s="129"/>
      <c r="AF21" s="129"/>
      <c r="AG21" s="22"/>
    </row>
    <row r="22" spans="1:33" ht="24.75" customHeight="1">
      <c r="A22" s="119" t="s">
        <v>29</v>
      </c>
      <c r="B22" s="120"/>
      <c r="C22" s="120"/>
      <c r="D22" s="120"/>
      <c r="E22" s="120"/>
      <c r="F22" s="120"/>
      <c r="G22" s="120"/>
      <c r="H22" s="120"/>
      <c r="I22" s="120"/>
      <c r="J22" s="121"/>
      <c r="K22" s="143"/>
      <c r="L22" s="143"/>
      <c r="M22" s="143"/>
      <c r="N22" s="143"/>
      <c r="O22" s="137"/>
      <c r="P22" s="137"/>
      <c r="Q22" s="137"/>
      <c r="R22" s="137"/>
      <c r="S22" s="137"/>
      <c r="T22" s="144">
        <v>0</v>
      </c>
      <c r="U22" s="145"/>
      <c r="V22" s="145"/>
      <c r="W22" s="145"/>
      <c r="X22" s="145"/>
      <c r="Y22" s="146"/>
      <c r="Z22" s="131"/>
      <c r="AA22" s="132"/>
      <c r="AB22" s="132"/>
      <c r="AC22" s="132"/>
      <c r="AD22" s="132"/>
      <c r="AE22" s="132"/>
      <c r="AF22" s="132"/>
      <c r="AG22" s="133"/>
    </row>
    <row r="23" spans="1:33" ht="24.75" customHeight="1">
      <c r="A23" s="125"/>
      <c r="B23" s="126"/>
      <c r="C23" s="126"/>
      <c r="D23" s="126"/>
      <c r="E23" s="126"/>
      <c r="F23" s="126"/>
      <c r="G23" s="126"/>
      <c r="H23" s="126"/>
      <c r="I23" s="126"/>
      <c r="J23" s="127"/>
      <c r="K23" s="135"/>
      <c r="L23" s="135"/>
      <c r="M23" s="135"/>
      <c r="N23" s="135"/>
      <c r="O23" s="134"/>
      <c r="P23" s="134"/>
      <c r="Q23" s="134"/>
      <c r="R23" s="134"/>
      <c r="S23" s="134"/>
      <c r="T23" s="135"/>
      <c r="U23" s="135"/>
      <c r="V23" s="135"/>
      <c r="W23" s="135"/>
      <c r="X23" s="135"/>
      <c r="Y23" s="135"/>
      <c r="Z23" s="128"/>
      <c r="AA23" s="129"/>
      <c r="AB23" s="129"/>
      <c r="AC23" s="129"/>
      <c r="AD23" s="129"/>
      <c r="AE23" s="129"/>
      <c r="AF23" s="129"/>
      <c r="AG23" s="130"/>
    </row>
    <row r="24" spans="1:33" ht="24.75" customHeight="1">
      <c r="A24" s="122"/>
      <c r="B24" s="123"/>
      <c r="C24" s="123"/>
      <c r="D24" s="123"/>
      <c r="E24" s="123"/>
      <c r="F24" s="123"/>
      <c r="G24" s="123"/>
      <c r="H24" s="123"/>
      <c r="I24" s="123"/>
      <c r="J24" s="124"/>
      <c r="K24" s="136"/>
      <c r="L24" s="136"/>
      <c r="M24" s="136"/>
      <c r="N24" s="136"/>
      <c r="O24" s="137"/>
      <c r="P24" s="137"/>
      <c r="Q24" s="137"/>
      <c r="R24" s="137"/>
      <c r="S24" s="137"/>
      <c r="T24" s="136"/>
      <c r="U24" s="136"/>
      <c r="V24" s="136"/>
      <c r="W24" s="136"/>
      <c r="X24" s="136"/>
      <c r="Y24" s="136"/>
      <c r="Z24" s="131"/>
      <c r="AA24" s="132"/>
      <c r="AB24" s="132"/>
      <c r="AC24" s="132"/>
      <c r="AD24" s="132"/>
      <c r="AE24" s="132"/>
      <c r="AF24" s="132"/>
      <c r="AG24" s="133"/>
    </row>
    <row r="25" spans="1:33" ht="24.75" customHeight="1">
      <c r="A25" s="125"/>
      <c r="B25" s="126"/>
      <c r="C25" s="126"/>
      <c r="D25" s="126"/>
      <c r="E25" s="126"/>
      <c r="F25" s="126"/>
      <c r="G25" s="126"/>
      <c r="H25" s="126"/>
      <c r="I25" s="126"/>
      <c r="J25" s="127"/>
      <c r="K25" s="135"/>
      <c r="L25" s="135"/>
      <c r="M25" s="135"/>
      <c r="N25" s="135"/>
      <c r="O25" s="134"/>
      <c r="P25" s="134"/>
      <c r="Q25" s="134"/>
      <c r="R25" s="134"/>
      <c r="S25" s="134"/>
      <c r="T25" s="135"/>
      <c r="U25" s="135"/>
      <c r="V25" s="135"/>
      <c r="W25" s="135"/>
      <c r="X25" s="135"/>
      <c r="Y25" s="135"/>
      <c r="Z25" s="128"/>
      <c r="AA25" s="129"/>
      <c r="AB25" s="129"/>
      <c r="AC25" s="129"/>
      <c r="AD25" s="129"/>
      <c r="AE25" s="129"/>
      <c r="AF25" s="129"/>
      <c r="AG25" s="130"/>
    </row>
    <row r="26" spans="1:33" ht="24.75" customHeight="1">
      <c r="A26" s="122"/>
      <c r="B26" s="123"/>
      <c r="C26" s="123"/>
      <c r="D26" s="123"/>
      <c r="E26" s="123"/>
      <c r="F26" s="123"/>
      <c r="G26" s="123"/>
      <c r="H26" s="123"/>
      <c r="I26" s="123"/>
      <c r="J26" s="124"/>
      <c r="K26" s="136"/>
      <c r="L26" s="136"/>
      <c r="M26" s="136"/>
      <c r="N26" s="136"/>
      <c r="O26" s="137"/>
      <c r="P26" s="137"/>
      <c r="Q26" s="137"/>
      <c r="R26" s="137"/>
      <c r="S26" s="137"/>
      <c r="T26" s="136"/>
      <c r="U26" s="136"/>
      <c r="V26" s="136"/>
      <c r="W26" s="136"/>
      <c r="X26" s="136"/>
      <c r="Y26" s="136"/>
      <c r="Z26" s="131"/>
      <c r="AA26" s="132"/>
      <c r="AB26" s="132"/>
      <c r="AC26" s="132"/>
      <c r="AD26" s="132"/>
      <c r="AE26" s="132"/>
      <c r="AF26" s="132"/>
      <c r="AG26" s="133"/>
    </row>
    <row r="27" spans="1:33" ht="24.75" customHeight="1">
      <c r="A27" s="125"/>
      <c r="B27" s="126"/>
      <c r="C27" s="126"/>
      <c r="D27" s="126"/>
      <c r="E27" s="126"/>
      <c r="F27" s="126"/>
      <c r="G27" s="126"/>
      <c r="H27" s="126"/>
      <c r="I27" s="126"/>
      <c r="J27" s="127"/>
      <c r="K27" s="135"/>
      <c r="L27" s="135"/>
      <c r="M27" s="135"/>
      <c r="N27" s="135"/>
      <c r="O27" s="134"/>
      <c r="P27" s="134"/>
      <c r="Q27" s="134"/>
      <c r="R27" s="134"/>
      <c r="S27" s="134"/>
      <c r="T27" s="135"/>
      <c r="U27" s="135"/>
      <c r="V27" s="135"/>
      <c r="W27" s="135"/>
      <c r="X27" s="135"/>
      <c r="Y27" s="135"/>
      <c r="Z27" s="128"/>
      <c r="AA27" s="129"/>
      <c r="AB27" s="129"/>
      <c r="AC27" s="129"/>
      <c r="AD27" s="129"/>
      <c r="AE27" s="129"/>
      <c r="AF27" s="129"/>
      <c r="AG27" s="130"/>
    </row>
    <row r="28" spans="1:33" ht="24.75" customHeight="1">
      <c r="A28" s="122"/>
      <c r="B28" s="123"/>
      <c r="C28" s="123"/>
      <c r="D28" s="123"/>
      <c r="E28" s="123"/>
      <c r="F28" s="123"/>
      <c r="G28" s="123"/>
      <c r="H28" s="123"/>
      <c r="I28" s="123"/>
      <c r="J28" s="124"/>
      <c r="K28" s="136"/>
      <c r="L28" s="136"/>
      <c r="M28" s="136"/>
      <c r="N28" s="136"/>
      <c r="O28" s="137"/>
      <c r="P28" s="137"/>
      <c r="Q28" s="137"/>
      <c r="R28" s="137"/>
      <c r="S28" s="137"/>
      <c r="T28" s="136"/>
      <c r="U28" s="136"/>
      <c r="V28" s="136"/>
      <c r="W28" s="136"/>
      <c r="X28" s="136"/>
      <c r="Y28" s="136"/>
      <c r="Z28" s="131"/>
      <c r="AA28" s="132"/>
      <c r="AB28" s="132"/>
      <c r="AC28" s="132"/>
      <c r="AD28" s="132"/>
      <c r="AE28" s="132"/>
      <c r="AF28" s="132"/>
      <c r="AG28" s="133"/>
    </row>
    <row r="29" spans="1:33" ht="24.75" customHeight="1">
      <c r="A29" s="125"/>
      <c r="B29" s="126"/>
      <c r="C29" s="126"/>
      <c r="D29" s="126"/>
      <c r="E29" s="126"/>
      <c r="F29" s="126"/>
      <c r="G29" s="126"/>
      <c r="H29" s="126"/>
      <c r="I29" s="126"/>
      <c r="J29" s="127"/>
      <c r="K29" s="135"/>
      <c r="L29" s="135"/>
      <c r="M29" s="135"/>
      <c r="N29" s="135"/>
      <c r="O29" s="134"/>
      <c r="P29" s="134"/>
      <c r="Q29" s="134"/>
      <c r="R29" s="134"/>
      <c r="S29" s="134"/>
      <c r="T29" s="135"/>
      <c r="U29" s="135"/>
      <c r="V29" s="135"/>
      <c r="W29" s="135"/>
      <c r="X29" s="135"/>
      <c r="Y29" s="135"/>
      <c r="Z29" s="128"/>
      <c r="AA29" s="129"/>
      <c r="AB29" s="129"/>
      <c r="AC29" s="129"/>
      <c r="AD29" s="129"/>
      <c r="AE29" s="129"/>
      <c r="AF29" s="129"/>
      <c r="AG29" s="130"/>
    </row>
    <row r="30" spans="1:33" ht="24.75" customHeight="1">
      <c r="K30" s="140" t="s">
        <v>28</v>
      </c>
      <c r="L30" s="140"/>
      <c r="M30" s="140"/>
      <c r="N30" s="140"/>
      <c r="O30" s="140"/>
      <c r="P30" s="140"/>
      <c r="Q30" s="140"/>
      <c r="R30" s="140"/>
      <c r="S30" s="140"/>
      <c r="T30" s="141">
        <f>SUM(T20:Y29)</f>
        <v>0</v>
      </c>
      <c r="U30" s="141"/>
      <c r="V30" s="141"/>
      <c r="W30" s="141"/>
      <c r="X30" s="141"/>
      <c r="Y30" s="141"/>
      <c r="Z30" s="141"/>
      <c r="AA30" s="141"/>
      <c r="AB30" s="141"/>
      <c r="AC30" s="141"/>
      <c r="AD30" s="141"/>
      <c r="AE30" s="141"/>
      <c r="AF30" s="141"/>
      <c r="AG30" s="141"/>
    </row>
    <row r="31" spans="1:33" ht="24.75" customHeight="1"/>
    <row r="32" spans="1:33" ht="24.75" customHeight="1">
      <c r="A32" s="139" t="s">
        <v>27</v>
      </c>
      <c r="B32" s="139"/>
    </row>
    <row r="33" spans="1:33" ht="24.75" customHeight="1">
      <c r="A33" s="142"/>
      <c r="B33" s="14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142"/>
      <c r="AC33" s="142"/>
      <c r="AD33" s="142"/>
      <c r="AE33" s="142"/>
      <c r="AF33" s="142"/>
      <c r="AG33" s="142"/>
    </row>
    <row r="34" spans="1:33" ht="24.75" customHeight="1">
      <c r="A34" s="138"/>
      <c r="B34" s="138"/>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c r="AB34" s="138"/>
      <c r="AC34" s="138"/>
      <c r="AD34" s="138"/>
      <c r="AE34" s="138"/>
      <c r="AF34" s="138"/>
      <c r="AG34" s="138"/>
    </row>
    <row r="35" spans="1:33" ht="24.75" customHeight="1">
      <c r="A35" s="138"/>
      <c r="B35" s="138"/>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c r="AB35" s="138"/>
      <c r="AC35" s="138"/>
      <c r="AD35" s="138"/>
      <c r="AE35" s="138"/>
      <c r="AF35" s="138"/>
      <c r="AG35" s="138"/>
    </row>
    <row r="36" spans="1:33" ht="24.75" customHeight="1">
      <c r="A36" s="138"/>
      <c r="B36" s="138"/>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c r="AB36" s="138"/>
      <c r="AC36" s="138"/>
      <c r="AD36" s="138"/>
      <c r="AE36" s="138"/>
      <c r="AF36" s="138"/>
      <c r="AG36" s="138"/>
    </row>
    <row r="37" spans="1:33" ht="24.75"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1:AG1"/>
    <mergeCell ref="A8:L9"/>
    <mergeCell ref="M8:N9"/>
    <mergeCell ref="U8:AG9"/>
    <mergeCell ref="S3:V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K22:N22"/>
    <mergeCell ref="O22:S22"/>
    <mergeCell ref="T22:Y22"/>
    <mergeCell ref="K23:N23"/>
    <mergeCell ref="O23:S23"/>
    <mergeCell ref="T23:Y23"/>
    <mergeCell ref="K24:N24"/>
    <mergeCell ref="O24:S24"/>
    <mergeCell ref="T24:Y24"/>
    <mergeCell ref="K25:N25"/>
    <mergeCell ref="O25:S25"/>
    <mergeCell ref="T25:Y25"/>
    <mergeCell ref="A28:J28"/>
    <mergeCell ref="A36:AG36"/>
    <mergeCell ref="A32:B32"/>
    <mergeCell ref="K28:N28"/>
    <mergeCell ref="O28:S28"/>
    <mergeCell ref="T28:Y28"/>
    <mergeCell ref="K29:N29"/>
    <mergeCell ref="O29:S29"/>
    <mergeCell ref="T29:Y29"/>
    <mergeCell ref="A35:AG35"/>
    <mergeCell ref="K30:S30"/>
    <mergeCell ref="T30:AG30"/>
    <mergeCell ref="A33:AG33"/>
    <mergeCell ref="A34:AG34"/>
    <mergeCell ref="Z29:AG29"/>
    <mergeCell ref="A29:J29"/>
    <mergeCell ref="K26:N26"/>
    <mergeCell ref="O26:S26"/>
    <mergeCell ref="T26:Y26"/>
    <mergeCell ref="K27:N27"/>
    <mergeCell ref="Z28:AG28"/>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O27:S27"/>
    <mergeCell ref="T27:Y27"/>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pageSetUpPr fitToPage="1"/>
  </sheetPr>
  <dimension ref="A1:AM43"/>
  <sheetViews>
    <sheetView zoomScaleNormal="100" workbookViewId="0">
      <selection activeCell="Q14" sqref="Q14:S14"/>
    </sheetView>
  </sheetViews>
  <sheetFormatPr defaultColWidth="2.625" defaultRowHeight="18" customHeight="1"/>
  <cols>
    <col min="1" max="1" width="2.625" style="32"/>
    <col min="2" max="19" width="3.625" style="32" customWidth="1"/>
    <col min="20" max="20" width="2.625" style="32"/>
    <col min="21" max="27" width="3.625" style="32" customWidth="1"/>
    <col min="28" max="16384" width="2.625" style="32"/>
  </cols>
  <sheetData>
    <row r="1" spans="1:39" ht="18" customHeight="1">
      <c r="B1" s="160" t="s">
        <v>71</v>
      </c>
      <c r="C1" s="160"/>
      <c r="D1" s="160">
        <v>44341</v>
      </c>
      <c r="E1" s="160"/>
      <c r="F1" s="160"/>
      <c r="G1" s="160"/>
      <c r="H1" s="160"/>
      <c r="I1" s="160"/>
      <c r="R1" s="54"/>
      <c r="S1" s="171"/>
      <c r="T1" s="171"/>
      <c r="U1" s="171"/>
      <c r="V1" s="171"/>
      <c r="W1" s="171"/>
      <c r="X1" s="171"/>
      <c r="Y1" s="171"/>
    </row>
    <row r="2" spans="1:39" ht="13.5" customHeight="1">
      <c r="A2" s="166" t="s">
        <v>70</v>
      </c>
      <c r="B2" s="166"/>
      <c r="C2" s="166"/>
      <c r="D2" s="166"/>
      <c r="E2" s="166"/>
      <c r="F2" s="166"/>
      <c r="G2" s="166"/>
      <c r="H2" s="166"/>
      <c r="I2" s="166"/>
      <c r="J2" s="166"/>
      <c r="K2" s="166"/>
      <c r="L2" s="166"/>
      <c r="M2" s="166"/>
      <c r="N2" s="166"/>
      <c r="O2" s="166"/>
      <c r="P2" s="166"/>
      <c r="Q2" s="166"/>
      <c r="R2" s="166"/>
      <c r="S2" s="166"/>
      <c r="T2" s="166"/>
      <c r="U2" s="166"/>
      <c r="V2" s="166"/>
      <c r="W2" s="166"/>
      <c r="X2" s="166"/>
      <c r="Y2" s="166"/>
      <c r="Z2" s="166"/>
    </row>
    <row r="3" spans="1:39" ht="24.75" customHeigh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50"/>
      <c r="AB3" s="50"/>
      <c r="AC3" s="50"/>
      <c r="AD3" s="50"/>
      <c r="AE3" s="50"/>
      <c r="AF3" s="50"/>
      <c r="AG3" s="50"/>
      <c r="AH3" s="50"/>
      <c r="AI3" s="50"/>
      <c r="AJ3" s="50"/>
      <c r="AM3" s="53"/>
    </row>
    <row r="4" spans="1:39" ht="13.5" customHeight="1">
      <c r="Z4" s="50"/>
      <c r="AA4" s="50"/>
      <c r="AB4" s="50"/>
      <c r="AC4" s="50"/>
      <c r="AD4" s="50"/>
      <c r="AE4" s="50"/>
      <c r="AF4" s="50"/>
      <c r="AG4" s="50"/>
      <c r="AH4" s="50"/>
      <c r="AI4" s="50"/>
      <c r="AJ4" s="50"/>
      <c r="AM4" s="53"/>
    </row>
    <row r="5" spans="1:39" ht="21.75" customHeight="1">
      <c r="B5" s="52"/>
      <c r="C5" s="52"/>
      <c r="D5" s="172" t="str" cm="1">
        <f t="array" aca="1" ref="D5" ca="1">RIGHT(CELL("filename",B1),LEN(CELL("filename",B1))-FIND("]",CELL("filename",B1)))</f>
        <v>Lunch</v>
      </c>
      <c r="E5" s="172"/>
      <c r="F5" s="172"/>
      <c r="G5" s="172"/>
      <c r="H5" s="172"/>
      <c r="I5" s="172"/>
      <c r="J5" s="172"/>
      <c r="K5" s="178" t="s">
        <v>69</v>
      </c>
      <c r="L5" s="178"/>
      <c r="M5" s="51"/>
    </row>
    <row r="6" spans="1:39" ht="18" customHeight="1">
      <c r="D6" s="172"/>
      <c r="E6" s="172"/>
      <c r="F6" s="172"/>
      <c r="G6" s="172"/>
      <c r="H6" s="172"/>
      <c r="I6" s="172"/>
      <c r="J6" s="172"/>
      <c r="K6" s="178"/>
      <c r="L6" s="178"/>
      <c r="M6" s="177" t="s">
        <v>68</v>
      </c>
      <c r="N6" s="177"/>
      <c r="O6" s="177"/>
      <c r="P6" s="177"/>
      <c r="Q6" s="177"/>
      <c r="R6" s="177"/>
      <c r="S6" s="177"/>
      <c r="T6" s="177"/>
      <c r="U6" s="177"/>
      <c r="V6" s="177"/>
      <c r="W6" s="177"/>
      <c r="X6" s="177"/>
      <c r="Y6" s="177"/>
    </row>
    <row r="7" spans="1:39" ht="18" customHeight="1">
      <c r="N7" s="176" t="s">
        <v>67</v>
      </c>
      <c r="O7" s="176"/>
      <c r="P7" s="176"/>
      <c r="Q7" s="176"/>
      <c r="R7" s="176"/>
      <c r="S7" s="176"/>
      <c r="T7" s="176"/>
      <c r="U7" s="176"/>
      <c r="V7" s="176"/>
      <c r="W7" s="176"/>
      <c r="X7" s="176"/>
      <c r="Y7" s="176"/>
    </row>
    <row r="8" spans="1:39" ht="18" customHeight="1">
      <c r="N8" s="176" t="s">
        <v>66</v>
      </c>
      <c r="O8" s="176"/>
      <c r="P8" s="176"/>
      <c r="Q8" s="176"/>
      <c r="R8" s="176"/>
      <c r="S8" s="176"/>
      <c r="T8" s="176"/>
      <c r="U8" s="176"/>
      <c r="V8" s="176"/>
      <c r="W8" s="176"/>
      <c r="X8" s="176"/>
      <c r="Y8" s="176"/>
    </row>
    <row r="9" spans="1:39" ht="18" customHeight="1">
      <c r="D9" s="161" t="s">
        <v>65</v>
      </c>
      <c r="E9" s="161"/>
      <c r="F9" s="161"/>
      <c r="G9" s="161"/>
      <c r="H9" s="161"/>
      <c r="I9" s="161"/>
      <c r="J9" s="161"/>
      <c r="K9" s="161"/>
    </row>
    <row r="10" spans="1:39" ht="13.5" customHeight="1">
      <c r="J10" s="168">
        <f>W17</f>
        <v>0</v>
      </c>
      <c r="K10" s="168"/>
      <c r="L10" s="168"/>
      <c r="M10" s="168"/>
      <c r="N10" s="168"/>
      <c r="O10" s="168"/>
      <c r="P10" s="168"/>
    </row>
    <row r="11" spans="1:39" ht="24.75" customHeight="1" thickBot="1">
      <c r="E11" s="179" t="s">
        <v>28</v>
      </c>
      <c r="F11" s="179"/>
      <c r="G11" s="179"/>
      <c r="H11" s="179"/>
      <c r="I11" s="179"/>
      <c r="J11" s="169"/>
      <c r="K11" s="169"/>
      <c r="L11" s="169"/>
      <c r="M11" s="169"/>
      <c r="N11" s="169"/>
      <c r="O11" s="169"/>
      <c r="P11" s="169"/>
      <c r="Z11" s="50"/>
      <c r="AA11" s="50"/>
      <c r="AB11" s="50"/>
      <c r="AC11" s="50"/>
      <c r="AD11" s="50"/>
      <c r="AE11" s="50"/>
      <c r="AF11" s="50"/>
      <c r="AG11" s="50"/>
      <c r="AH11" s="50"/>
      <c r="AI11" s="50"/>
      <c r="AJ11" s="50"/>
    </row>
    <row r="12" spans="1:39" ht="13.5" customHeight="1">
      <c r="Z12" s="50"/>
      <c r="AA12" s="50"/>
      <c r="AB12" s="50"/>
      <c r="AC12" s="50"/>
      <c r="AD12" s="50"/>
      <c r="AE12" s="50"/>
      <c r="AF12" s="50"/>
      <c r="AG12" s="50"/>
      <c r="AH12" s="50"/>
      <c r="AI12" s="50"/>
      <c r="AJ12" s="50"/>
    </row>
    <row r="13" spans="1:39" ht="21" customHeight="1">
      <c r="B13" s="49"/>
      <c r="C13" s="190" t="s">
        <v>64</v>
      </c>
      <c r="D13" s="191"/>
      <c r="E13" s="189" t="s">
        <v>63</v>
      </c>
      <c r="F13" s="190"/>
      <c r="G13" s="190"/>
      <c r="H13" s="190"/>
      <c r="I13" s="190"/>
      <c r="J13" s="190"/>
      <c r="K13" s="190"/>
      <c r="L13" s="190"/>
      <c r="M13" s="190"/>
      <c r="N13" s="190"/>
      <c r="O13" s="190"/>
      <c r="P13" s="191"/>
      <c r="Q13" s="173" t="s">
        <v>62</v>
      </c>
      <c r="R13" s="173"/>
      <c r="S13" s="173"/>
      <c r="T13" s="173" t="s">
        <v>61</v>
      </c>
      <c r="U13" s="173"/>
      <c r="V13" s="173"/>
      <c r="W13" s="173" t="s">
        <v>60</v>
      </c>
      <c r="X13" s="173"/>
      <c r="Y13" s="173"/>
      <c r="Z13" s="50"/>
      <c r="AA13" s="50"/>
      <c r="AB13" s="50"/>
      <c r="AC13" s="50"/>
      <c r="AD13" s="50"/>
      <c r="AE13" s="50"/>
      <c r="AF13" s="50"/>
      <c r="AG13" s="50"/>
      <c r="AH13" s="50"/>
      <c r="AI13" s="50"/>
      <c r="AJ13" s="50"/>
    </row>
    <row r="14" spans="1:39" ht="21" customHeight="1">
      <c r="B14" s="49"/>
      <c r="C14" s="192">
        <v>1</v>
      </c>
      <c r="D14" s="193"/>
      <c r="E14" s="180" t="s">
        <v>59</v>
      </c>
      <c r="F14" s="180"/>
      <c r="G14" s="180"/>
      <c r="H14" s="180"/>
      <c r="I14" s="180"/>
      <c r="J14" s="180"/>
      <c r="K14" s="180"/>
      <c r="L14" s="180"/>
      <c r="M14" s="180"/>
      <c r="N14" s="180"/>
      <c r="O14" s="180"/>
      <c r="P14" s="181"/>
      <c r="Q14" s="175"/>
      <c r="R14" s="175"/>
      <c r="S14" s="175"/>
      <c r="T14" s="174">
        <v>100</v>
      </c>
      <c r="U14" s="174"/>
      <c r="V14" s="174"/>
      <c r="W14" s="170">
        <f>T14*Q14</f>
        <v>0</v>
      </c>
      <c r="X14" s="170"/>
      <c r="Y14" s="170"/>
    </row>
    <row r="15" spans="1:39" ht="21" customHeight="1">
      <c r="B15" s="49"/>
      <c r="C15" s="192">
        <v>2</v>
      </c>
      <c r="D15" s="193"/>
      <c r="E15" s="164"/>
      <c r="F15" s="164"/>
      <c r="G15" s="164"/>
      <c r="H15" s="164"/>
      <c r="I15" s="164"/>
      <c r="J15" s="164"/>
      <c r="K15" s="164"/>
      <c r="L15" s="164"/>
      <c r="M15" s="164"/>
      <c r="N15" s="164"/>
      <c r="O15" s="164"/>
      <c r="P15" s="165"/>
      <c r="Q15" s="175"/>
      <c r="R15" s="175"/>
      <c r="S15" s="175"/>
      <c r="T15" s="175"/>
      <c r="U15" s="175"/>
      <c r="V15" s="175"/>
      <c r="W15" s="175"/>
      <c r="X15" s="175"/>
      <c r="Y15" s="175"/>
    </row>
    <row r="16" spans="1:39" ht="21" customHeight="1">
      <c r="B16" s="49"/>
      <c r="C16" s="192">
        <v>3</v>
      </c>
      <c r="D16" s="193"/>
      <c r="E16" s="164"/>
      <c r="F16" s="164"/>
      <c r="G16" s="164"/>
      <c r="H16" s="164"/>
      <c r="I16" s="164"/>
      <c r="J16" s="164"/>
      <c r="K16" s="164"/>
      <c r="L16" s="164"/>
      <c r="M16" s="164"/>
      <c r="N16" s="164"/>
      <c r="O16" s="164"/>
      <c r="P16" s="165"/>
      <c r="Q16" s="175"/>
      <c r="R16" s="175"/>
      <c r="S16" s="175"/>
      <c r="T16" s="175"/>
      <c r="U16" s="175"/>
      <c r="V16" s="175"/>
      <c r="W16" s="175"/>
      <c r="X16" s="175"/>
      <c r="Y16" s="175"/>
    </row>
    <row r="17" spans="1:27" ht="21" customHeight="1">
      <c r="Q17" s="173" t="s">
        <v>58</v>
      </c>
      <c r="R17" s="173"/>
      <c r="S17" s="173"/>
      <c r="T17" s="173"/>
      <c r="U17" s="173"/>
      <c r="V17" s="173"/>
      <c r="W17" s="174">
        <f>SUM(W14:Y16)</f>
        <v>0</v>
      </c>
      <c r="X17" s="174"/>
      <c r="Y17" s="174"/>
    </row>
    <row r="18" spans="1:27" ht="14.25" customHeight="1">
      <c r="Q18" s="48"/>
      <c r="R18" s="48"/>
      <c r="S18" s="48"/>
      <c r="T18" s="48"/>
      <c r="U18" s="48"/>
      <c r="V18" s="48"/>
      <c r="W18" s="47"/>
      <c r="X18" s="47"/>
      <c r="Y18" s="47"/>
    </row>
    <row r="19" spans="1:27" s="46" customFormat="1" ht="20.100000000000001" customHeight="1">
      <c r="B19" s="33">
        <v>3</v>
      </c>
      <c r="C19" s="33" t="s">
        <v>46</v>
      </c>
      <c r="D19" s="33">
        <v>4</v>
      </c>
      <c r="E19" s="162" t="s">
        <v>72</v>
      </c>
      <c r="F19" s="162"/>
      <c r="G19" s="35"/>
      <c r="H19" s="35"/>
      <c r="I19" s="35"/>
      <c r="J19" s="35"/>
      <c r="K19" s="35"/>
      <c r="L19" s="35"/>
      <c r="M19" s="35"/>
      <c r="N19" s="35"/>
      <c r="O19" s="35"/>
      <c r="P19" s="35"/>
      <c r="Q19" s="35"/>
      <c r="R19" s="35"/>
      <c r="S19" s="35"/>
      <c r="T19" s="35"/>
      <c r="U19" s="35"/>
      <c r="V19" s="35"/>
      <c r="W19" s="35"/>
      <c r="X19" s="35"/>
      <c r="Y19" s="35"/>
      <c r="Z19" s="35"/>
    </row>
    <row r="20" spans="1:27" ht="18" customHeight="1">
      <c r="E20" s="37"/>
      <c r="F20" s="36"/>
      <c r="G20" s="36"/>
      <c r="H20" s="36"/>
      <c r="I20" s="36"/>
      <c r="J20" s="36"/>
      <c r="K20" s="36"/>
      <c r="L20" s="36"/>
      <c r="M20" s="36"/>
      <c r="N20" s="36"/>
      <c r="O20" s="36"/>
    </row>
    <row r="21" spans="1:27" ht="18" customHeight="1">
      <c r="D21" s="163" t="s">
        <v>49</v>
      </c>
      <c r="E21" s="163"/>
      <c r="F21" s="163"/>
      <c r="G21" s="163"/>
      <c r="H21" s="163"/>
      <c r="I21" s="163"/>
      <c r="J21" s="35"/>
      <c r="M21" s="177" t="s">
        <v>57</v>
      </c>
      <c r="N21" s="177"/>
      <c r="O21" s="177"/>
      <c r="P21" s="177"/>
      <c r="Q21" s="177"/>
      <c r="R21" s="177"/>
      <c r="S21" s="177"/>
      <c r="T21" s="177"/>
      <c r="U21" s="177"/>
      <c r="V21" s="177"/>
      <c r="W21" s="177"/>
      <c r="X21" s="177"/>
      <c r="Y21" s="177"/>
      <c r="Z21" s="34"/>
    </row>
    <row r="22" spans="1:27" ht="18" customHeight="1">
      <c r="D22" s="45"/>
      <c r="K22" s="35"/>
      <c r="L22" s="35"/>
      <c r="M22" s="44"/>
      <c r="N22" s="176" t="s">
        <v>56</v>
      </c>
      <c r="O22" s="176"/>
      <c r="P22" s="176"/>
      <c r="Q22" s="176"/>
      <c r="R22" s="176"/>
      <c r="S22" s="176"/>
      <c r="T22" s="176"/>
      <c r="U22" s="176"/>
      <c r="V22" s="176"/>
      <c r="W22" s="176"/>
      <c r="X22" s="176"/>
      <c r="Y22" s="176"/>
      <c r="Z22" s="34"/>
    </row>
    <row r="23" spans="1:27" ht="18" customHeight="1">
      <c r="D23" s="162" t="s">
        <v>82</v>
      </c>
      <c r="E23" s="162"/>
      <c r="F23" s="43">
        <v>3</v>
      </c>
      <c r="G23" s="33" t="s">
        <v>46</v>
      </c>
      <c r="H23" s="33"/>
      <c r="I23" s="33" t="s">
        <v>45</v>
      </c>
      <c r="J23" s="33"/>
      <c r="K23" s="33" t="s">
        <v>44</v>
      </c>
      <c r="L23" s="35"/>
      <c r="M23" s="35"/>
      <c r="N23" s="176" t="s">
        <v>55</v>
      </c>
      <c r="O23" s="176"/>
      <c r="P23" s="176"/>
      <c r="Q23" s="176"/>
      <c r="R23" s="176"/>
      <c r="S23" s="176"/>
      <c r="T23" s="176"/>
      <c r="U23" s="176"/>
      <c r="V23" s="176"/>
      <c r="W23" s="176"/>
      <c r="X23" s="176"/>
      <c r="Y23" s="176"/>
      <c r="Z23" s="34"/>
    </row>
    <row r="24" spans="1:27" ht="18" customHeight="1">
      <c r="D24" s="35"/>
      <c r="F24" s="35"/>
      <c r="G24" s="35"/>
      <c r="H24" s="35"/>
      <c r="I24" s="35"/>
      <c r="J24" s="35"/>
      <c r="K24" s="35"/>
      <c r="L24" s="35"/>
      <c r="M24" s="35"/>
      <c r="N24" s="35"/>
      <c r="P24" s="35"/>
      <c r="Q24" s="35"/>
      <c r="R24" s="35"/>
      <c r="S24" s="35"/>
      <c r="T24" s="35"/>
      <c r="X24" s="34"/>
      <c r="Y24" s="34"/>
      <c r="Z24" s="34"/>
    </row>
    <row r="25" spans="1:27" ht="18" customHeight="1">
      <c r="D25" s="35"/>
      <c r="F25" s="35"/>
      <c r="G25" s="35"/>
      <c r="H25" s="35"/>
      <c r="I25" s="35"/>
      <c r="J25" s="35"/>
      <c r="K25" s="35"/>
      <c r="L25" s="35"/>
      <c r="M25" s="35"/>
      <c r="N25" s="35"/>
      <c r="P25" s="35"/>
      <c r="Q25" s="35"/>
      <c r="R25" s="35"/>
      <c r="S25" s="35"/>
      <c r="T25" s="35"/>
      <c r="X25" s="34"/>
      <c r="Y25" s="34"/>
      <c r="Z25" s="34"/>
    </row>
    <row r="26" spans="1:27" ht="18" customHeight="1">
      <c r="D26" s="35"/>
      <c r="F26" s="35"/>
      <c r="G26" s="35"/>
      <c r="H26" s="35"/>
      <c r="I26" s="35"/>
      <c r="J26" s="35"/>
      <c r="K26" s="35"/>
      <c r="L26" s="35"/>
      <c r="M26" s="35"/>
      <c r="N26" s="35"/>
      <c r="P26" s="35"/>
      <c r="Q26" s="35"/>
      <c r="R26" s="35"/>
      <c r="S26" s="35"/>
      <c r="T26" s="35"/>
      <c r="X26" s="34"/>
      <c r="Y26" s="34"/>
      <c r="Z26" s="34"/>
    </row>
    <row r="27" spans="1:27" ht="18" customHeight="1">
      <c r="A27" s="41"/>
      <c r="B27" s="41"/>
      <c r="C27" s="41"/>
      <c r="D27" s="42"/>
      <c r="E27" s="41"/>
      <c r="F27" s="42"/>
      <c r="G27" s="42"/>
      <c r="H27" s="42"/>
      <c r="I27" s="42"/>
      <c r="J27" s="42"/>
      <c r="K27" s="42"/>
      <c r="L27" s="42"/>
      <c r="M27" s="42"/>
      <c r="N27" s="42"/>
      <c r="O27" s="41"/>
      <c r="P27" s="42"/>
      <c r="Q27" s="42"/>
      <c r="R27" s="42"/>
      <c r="S27" s="42"/>
      <c r="T27" s="42"/>
      <c r="U27" s="41"/>
      <c r="V27" s="41"/>
      <c r="W27" s="41"/>
      <c r="X27" s="40"/>
      <c r="Y27" s="40"/>
      <c r="Z27" s="40"/>
      <c r="AA27" s="34"/>
    </row>
    <row r="28" spans="1:27" ht="18" customHeight="1">
      <c r="D28" s="35"/>
      <c r="F28" s="35"/>
      <c r="G28" s="35"/>
      <c r="H28" s="35"/>
      <c r="I28" s="35"/>
      <c r="J28" s="35"/>
      <c r="K28" s="35"/>
      <c r="L28" s="35"/>
      <c r="M28" s="35"/>
      <c r="N28" s="35"/>
      <c r="P28" s="35"/>
      <c r="Q28" s="35"/>
      <c r="R28" s="35"/>
      <c r="S28" s="35"/>
      <c r="T28" s="35"/>
      <c r="X28" s="34"/>
      <c r="Y28" s="34"/>
      <c r="Z28" s="34"/>
      <c r="AA28" s="34"/>
    </row>
    <row r="29" spans="1:27" ht="18" customHeight="1">
      <c r="L29" s="35"/>
      <c r="M29" s="35"/>
      <c r="N29" s="35"/>
      <c r="V29" s="32" t="s">
        <v>54</v>
      </c>
    </row>
    <row r="30" spans="1:27" ht="18" customHeight="1">
      <c r="D30" s="35"/>
      <c r="E30" s="35"/>
      <c r="F30" s="35"/>
      <c r="G30" s="35"/>
      <c r="H30" s="35"/>
      <c r="I30" s="35"/>
      <c r="J30" s="35"/>
      <c r="K30" s="35"/>
      <c r="L30" s="35"/>
      <c r="M30" s="35"/>
      <c r="N30" s="35"/>
    </row>
    <row r="31" spans="1:27" ht="18" customHeight="1">
      <c r="B31" s="33">
        <f>B19</f>
        <v>3</v>
      </c>
      <c r="C31" s="33" t="s">
        <v>46</v>
      </c>
      <c r="D31" s="33">
        <f>D19</f>
        <v>4</v>
      </c>
      <c r="E31" s="162" t="s">
        <v>72</v>
      </c>
      <c r="F31" s="162"/>
      <c r="G31" s="35"/>
      <c r="H31" s="35"/>
      <c r="I31" s="35"/>
      <c r="J31" s="35"/>
      <c r="K31" s="35"/>
      <c r="L31" s="35"/>
      <c r="M31" s="35"/>
      <c r="N31" s="35"/>
      <c r="O31" s="35"/>
      <c r="P31" s="35"/>
      <c r="Q31" s="35"/>
      <c r="R31" s="35"/>
      <c r="S31" s="35"/>
      <c r="T31" s="35"/>
      <c r="U31" s="35"/>
      <c r="V31" s="35"/>
      <c r="W31" s="35"/>
      <c r="X31" s="35"/>
      <c r="Y31" s="35"/>
      <c r="Z31" s="35"/>
    </row>
    <row r="32" spans="1:27" ht="18" customHeight="1">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spans="1:26" ht="21" customHeight="1">
      <c r="A33" s="188" t="s">
        <v>53</v>
      </c>
      <c r="B33" s="188"/>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row>
    <row r="35" spans="1:26" ht="35.1" customHeight="1">
      <c r="B35" s="35"/>
      <c r="C35" s="39"/>
      <c r="D35" s="182" t="str">
        <f t="array" aca="1" ref="D35" ca="1">RIGHT(CELL("filename",B1),LEN(CELL("filename",B1))-FIND("]",CELL("filename",B1)))</f>
        <v>Lunch</v>
      </c>
      <c r="E35" s="182"/>
      <c r="F35" s="182"/>
      <c r="G35" s="182"/>
      <c r="H35" s="182"/>
      <c r="I35" s="182"/>
      <c r="J35" s="182"/>
      <c r="K35" s="182"/>
      <c r="L35" s="182"/>
      <c r="M35" s="182"/>
      <c r="N35" s="182"/>
      <c r="O35" s="38" t="s">
        <v>52</v>
      </c>
      <c r="P35" s="35"/>
      <c r="Q35" s="35"/>
      <c r="R35" s="35"/>
      <c r="S35" s="35"/>
      <c r="T35" s="35"/>
      <c r="U35" s="35"/>
      <c r="V35" s="35"/>
      <c r="W35" s="35"/>
      <c r="X35" s="35"/>
      <c r="Y35" s="35"/>
      <c r="Z35" s="35"/>
    </row>
    <row r="37" spans="1:26" ht="18" customHeight="1">
      <c r="H37" s="186" t="s">
        <v>51</v>
      </c>
      <c r="I37" s="183">
        <f>W17</f>
        <v>0</v>
      </c>
      <c r="J37" s="183"/>
      <c r="K37" s="183"/>
      <c r="L37" s="183"/>
      <c r="M37" s="183"/>
      <c r="N37" s="183"/>
      <c r="O37" s="183"/>
      <c r="P37" s="183"/>
      <c r="Q37" s="183"/>
      <c r="R37" s="183"/>
      <c r="S37" s="183"/>
    </row>
    <row r="38" spans="1:26" ht="18" customHeight="1" thickBot="1">
      <c r="H38" s="187"/>
      <c r="I38" s="184"/>
      <c r="J38" s="184"/>
      <c r="K38" s="184"/>
      <c r="L38" s="184"/>
      <c r="M38" s="184"/>
      <c r="N38" s="184"/>
      <c r="O38" s="184"/>
      <c r="P38" s="184"/>
      <c r="Q38" s="184"/>
      <c r="R38" s="184"/>
      <c r="S38" s="184"/>
    </row>
    <row r="39" spans="1:26" ht="18" customHeight="1">
      <c r="E39" s="37"/>
      <c r="F39" s="36"/>
      <c r="G39" s="36"/>
      <c r="H39" s="36"/>
      <c r="I39" s="36"/>
      <c r="J39" s="36"/>
      <c r="K39" s="36"/>
      <c r="L39" s="36"/>
      <c r="M39" s="36"/>
      <c r="N39" s="36"/>
      <c r="O39" s="36"/>
    </row>
    <row r="40" spans="1:26" ht="18" customHeight="1">
      <c r="D40" s="35"/>
      <c r="E40" s="35"/>
      <c r="F40" s="35"/>
      <c r="G40" s="35"/>
      <c r="H40" s="35"/>
      <c r="I40" s="35"/>
      <c r="J40" s="35"/>
      <c r="K40" s="35"/>
      <c r="M40" s="177" t="s">
        <v>50</v>
      </c>
      <c r="N40" s="177"/>
      <c r="O40" s="177"/>
      <c r="P40" s="177"/>
      <c r="Q40" s="177"/>
      <c r="R40" s="177"/>
      <c r="S40" s="177"/>
      <c r="T40" s="177"/>
      <c r="U40" s="177"/>
      <c r="V40" s="177"/>
      <c r="W40" s="177"/>
      <c r="X40" s="177"/>
      <c r="Y40" s="177"/>
      <c r="Z40" s="34"/>
    </row>
    <row r="41" spans="1:26" ht="18" customHeight="1">
      <c r="D41" s="185" t="s">
        <v>49</v>
      </c>
      <c r="E41" s="185"/>
      <c r="F41" s="185"/>
      <c r="G41" s="185"/>
      <c r="H41" s="185"/>
      <c r="I41" s="185"/>
      <c r="J41" s="185"/>
      <c r="K41" s="185"/>
      <c r="L41" s="35"/>
      <c r="N41" s="176" t="s">
        <v>48</v>
      </c>
      <c r="O41" s="176"/>
      <c r="P41" s="176"/>
      <c r="Q41" s="176"/>
      <c r="R41" s="176"/>
      <c r="S41" s="176"/>
      <c r="T41" s="176"/>
      <c r="U41" s="176"/>
      <c r="V41" s="176"/>
      <c r="W41" s="176"/>
      <c r="X41" s="176"/>
      <c r="Y41" s="176"/>
      <c r="Z41" s="34"/>
    </row>
    <row r="42" spans="1:26" ht="18" customHeight="1">
      <c r="L42" s="35"/>
      <c r="M42" s="35"/>
      <c r="N42" s="176" t="s">
        <v>47</v>
      </c>
      <c r="O42" s="176"/>
      <c r="P42" s="176"/>
      <c r="Q42" s="176"/>
      <c r="R42" s="176"/>
      <c r="S42" s="176"/>
      <c r="T42" s="176"/>
      <c r="U42" s="176"/>
      <c r="V42" s="176"/>
      <c r="W42" s="176"/>
      <c r="X42" s="176"/>
      <c r="Y42" s="176"/>
      <c r="Z42" s="34"/>
    </row>
    <row r="43" spans="1:26" ht="18" customHeight="1">
      <c r="D43" s="162" t="str">
        <f>D23</f>
        <v>令和</v>
      </c>
      <c r="E43" s="162"/>
      <c r="F43" s="33">
        <f>F23</f>
        <v>3</v>
      </c>
      <c r="G43" s="33" t="s">
        <v>46</v>
      </c>
      <c r="H43" s="33"/>
      <c r="I43" s="33" t="s">
        <v>45</v>
      </c>
      <c r="J43" s="33"/>
      <c r="K43" s="33" t="s">
        <v>44</v>
      </c>
      <c r="N43" s="176" t="s">
        <v>43</v>
      </c>
      <c r="O43" s="176"/>
      <c r="P43" s="176"/>
      <c r="Q43" s="176"/>
      <c r="R43" s="176"/>
      <c r="S43" s="176"/>
      <c r="T43" s="176"/>
      <c r="U43" s="176"/>
      <c r="V43" s="176"/>
      <c r="W43" s="176"/>
      <c r="X43" s="176"/>
      <c r="Y43" s="176"/>
    </row>
  </sheetData>
  <sheetProtection formatCells="0" formatColumns="0" formatRows="0" insertColumns="0" insertRows="0" insertHyperlinks="0" deleteColumns="0" deleteRows="0" sort="0" autoFilter="0" pivotTables="0"/>
  <mergeCells count="51">
    <mergeCell ref="W16:Y16"/>
    <mergeCell ref="E13:P13"/>
    <mergeCell ref="Q16:S16"/>
    <mergeCell ref="C15:D15"/>
    <mergeCell ref="C13:D13"/>
    <mergeCell ref="T16:V16"/>
    <mergeCell ref="T13:V13"/>
    <mergeCell ref="C14:D14"/>
    <mergeCell ref="T14:V14"/>
    <mergeCell ref="C16:D16"/>
    <mergeCell ref="Q13:S13"/>
    <mergeCell ref="Q15:S15"/>
    <mergeCell ref="N43:Y43"/>
    <mergeCell ref="D35:N35"/>
    <mergeCell ref="M21:Y21"/>
    <mergeCell ref="M40:Y40"/>
    <mergeCell ref="I37:S38"/>
    <mergeCell ref="N23:Y23"/>
    <mergeCell ref="N42:Y42"/>
    <mergeCell ref="E31:F31"/>
    <mergeCell ref="D41:K41"/>
    <mergeCell ref="H37:H38"/>
    <mergeCell ref="N22:Y22"/>
    <mergeCell ref="D43:E43"/>
    <mergeCell ref="N41:Y41"/>
    <mergeCell ref="A33:Z33"/>
    <mergeCell ref="M6:Y6"/>
    <mergeCell ref="K5:L6"/>
    <mergeCell ref="N8:Y8"/>
    <mergeCell ref="E15:P15"/>
    <mergeCell ref="E11:I11"/>
    <mergeCell ref="W13:Y13"/>
    <mergeCell ref="E14:P14"/>
    <mergeCell ref="T15:V15"/>
    <mergeCell ref="W15:Y15"/>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85"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2021-05-12T07:56:34Z</cp:lastPrinted>
  <dcterms:created xsi:type="dcterms:W3CDTF">2015-06-05T18:19:34Z</dcterms:created>
  <dcterms:modified xsi:type="dcterms:W3CDTF">2021-06-07T08:14:07Z</dcterms:modified>
</cp:coreProperties>
</file>